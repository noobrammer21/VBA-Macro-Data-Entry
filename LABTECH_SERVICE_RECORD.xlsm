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261E6E3E-E767-4CF8-9430-65B7D918A8D3}" xr6:coauthVersionLast="47" xr6:coauthVersionMax="47" xr10:uidLastSave="{00000000-0000-0000-0000-000000000000}"/>
  <bookViews>
    <workbookView xWindow="-21720" yWindow="-120" windowWidth="21840" windowHeight="13140" xr2:uid="{8CDD6CD7-C922-46BC-824F-8ADE83C0FC42}"/>
  </bookViews>
  <sheets>
    <sheet name="LABTECH_SERVICE_RECORD_DATABASE" sheetId="1" r:id="rId1"/>
    <sheet name="Sheet2" sheetId="8" r:id="rId2"/>
    <sheet name="Sheet1" sheetId="7" r:id="rId3"/>
    <sheet name="LAPTOP" sheetId="2" r:id="rId4"/>
    <sheet name="PRINTER" sheetId="3" r:id="rId5"/>
    <sheet name="PC" sheetId="4" r:id="rId6"/>
    <sheet name="MOBILE" sheetId="5" r:id="rId7"/>
    <sheet name="OTHERS" sheetId="6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48573" i="7" l="1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R11" i="7"/>
  <c r="A11" i="7"/>
  <c r="AK10" i="7"/>
  <c r="AJ10" i="7"/>
  <c r="AD10" i="7"/>
  <c r="AC10" i="7"/>
  <c r="R10" i="7"/>
  <c r="A10" i="7"/>
  <c r="AK9" i="7"/>
  <c r="AJ9" i="7"/>
  <c r="AD9" i="7"/>
  <c r="AC9" i="7"/>
  <c r="R9" i="7"/>
  <c r="A9" i="7"/>
  <c r="AK8" i="7"/>
  <c r="AJ8" i="7"/>
  <c r="AD8" i="7"/>
  <c r="AC8" i="7"/>
  <c r="R8" i="7"/>
  <c r="A8" i="7"/>
  <c r="AK7" i="7"/>
  <c r="AJ7" i="7"/>
  <c r="X7" i="7"/>
  <c r="R7" i="7"/>
  <c r="A7" i="7"/>
  <c r="R6" i="7"/>
  <c r="A6" i="7"/>
  <c r="R5" i="7"/>
  <c r="A5" i="7"/>
  <c r="R4" i="7"/>
  <c r="A4" i="7"/>
  <c r="R3" i="7"/>
  <c r="A3" i="7"/>
  <c r="R2" i="7"/>
  <c r="AD7" i="7" s="1"/>
  <c r="A2" i="7"/>
  <c r="A2" i="1"/>
  <c r="A3" i="1"/>
  <c r="A4" i="1"/>
  <c r="A5" i="1"/>
  <c r="A6" i="1"/>
  <c r="A7" i="1"/>
  <c r="A8" i="1"/>
  <c r="A9" i="1"/>
  <c r="A10" i="1"/>
  <c r="A11" i="1"/>
  <c r="A12" i="1"/>
  <c r="A13" i="1"/>
  <c r="A14" i="1"/>
  <c r="F4" i="2" l="1"/>
  <c r="B6" i="4"/>
  <c r="B9" i="4" s="1"/>
  <c r="B12" i="4" s="1"/>
  <c r="B15" i="4" s="1"/>
  <c r="R23" i="1"/>
  <c r="R22" i="1"/>
  <c r="R21" i="1"/>
  <c r="R20" i="1"/>
  <c r="R19" i="1"/>
  <c r="B4" i="4" s="1"/>
  <c r="B7" i="4" s="1"/>
  <c r="B10" i="4" s="1"/>
  <c r="B13" i="4" s="1"/>
  <c r="R18" i="1"/>
  <c r="R17" i="1"/>
  <c r="R16" i="1"/>
  <c r="R15" i="1"/>
  <c r="C9" i="5" s="1"/>
  <c r="AD18" i="1"/>
  <c r="A15" i="1"/>
  <c r="C5" i="3" l="1"/>
  <c r="B15" i="3"/>
  <c r="C10" i="3"/>
  <c r="B5" i="3"/>
  <c r="B7" i="3"/>
  <c r="C14" i="3"/>
  <c r="C5" i="2"/>
  <c r="B9" i="3"/>
  <c r="C4" i="2"/>
  <c r="B13" i="3"/>
  <c r="C12" i="3"/>
  <c r="C7" i="3"/>
  <c r="C10" i="2"/>
  <c r="B10" i="2"/>
  <c r="C12" i="2"/>
  <c r="B5" i="4"/>
  <c r="B8" i="4" s="1"/>
  <c r="B11" i="4" s="1"/>
  <c r="B14" i="4" s="1"/>
  <c r="X19" i="1"/>
  <c r="B14" i="2"/>
  <c r="C14" i="2"/>
  <c r="B11" i="3"/>
  <c r="B9" i="2"/>
  <c r="AD19" i="1"/>
  <c r="C7" i="2"/>
  <c r="C9" i="3"/>
  <c r="B8" i="2"/>
  <c r="B11" i="2" s="1"/>
  <c r="B6" i="2"/>
  <c r="B5" i="2"/>
  <c r="B15" i="2"/>
  <c r="C11" i="2"/>
  <c r="C15" i="2"/>
  <c r="B8" i="3"/>
  <c r="B12" i="3"/>
  <c r="C4" i="3"/>
  <c r="C8" i="3"/>
  <c r="C13" i="3"/>
  <c r="B7" i="2"/>
  <c r="B4" i="2"/>
  <c r="C9" i="2"/>
  <c r="B4" i="3"/>
  <c r="B12" i="2"/>
  <c r="C6" i="2"/>
  <c r="C13" i="2"/>
  <c r="B6" i="3"/>
  <c r="B10" i="3"/>
  <c r="B14" i="3"/>
  <c r="C6" i="3"/>
  <c r="C11" i="3"/>
  <c r="C15" i="3"/>
  <c r="C8" i="2"/>
  <c r="B13" i="2"/>
  <c r="AK16" i="1"/>
  <c r="AK18" i="1" s="1"/>
  <c r="AK19" i="1" s="1"/>
  <c r="AK17" i="1"/>
  <c r="AJ16" i="1"/>
  <c r="AJ18" i="1" s="1"/>
  <c r="AJ19" i="1" s="1"/>
  <c r="AJ17" i="1"/>
  <c r="AD16" i="1"/>
  <c r="AD17" i="1"/>
  <c r="AC16" i="1"/>
  <c r="AC17" i="1"/>
  <c r="AC18" i="1"/>
  <c r="C16" i="3" l="1"/>
  <c r="B16" i="3"/>
  <c r="B16" i="2"/>
  <c r="C16" i="2"/>
  <c r="A16" i="1"/>
  <c r="M1048572" i="1" l="1"/>
  <c r="A17" i="1"/>
  <c r="A18" i="1"/>
  <c r="A19" i="1"/>
  <c r="A20" i="1"/>
  <c r="A21" i="1" l="1"/>
  <c r="A22" i="1" l="1"/>
  <c r="A23" i="1"/>
</calcChain>
</file>

<file path=xl/sharedStrings.xml><?xml version="1.0" encoding="utf-8"?>
<sst xmlns="http://schemas.openxmlformats.org/spreadsheetml/2006/main" count="650" uniqueCount="156">
  <si>
    <t>DATE</t>
  </si>
  <si>
    <t>UNIT</t>
  </si>
  <si>
    <t>BRAND/MODEL</t>
  </si>
  <si>
    <t>SERIES</t>
  </si>
  <si>
    <t>SERIAL</t>
  </si>
  <si>
    <t>OWNER</t>
  </si>
  <si>
    <t>CONTACT NO</t>
  </si>
  <si>
    <t>ISSUE</t>
  </si>
  <si>
    <t>CAUSE</t>
  </si>
  <si>
    <t>ACTION ITEM</t>
  </si>
  <si>
    <t>STATUS</t>
  </si>
  <si>
    <t>FEES</t>
  </si>
  <si>
    <t>PARTS COST</t>
  </si>
  <si>
    <t>RELEASED DATE</t>
  </si>
  <si>
    <t>NO</t>
  </si>
  <si>
    <t>Laptop</t>
  </si>
  <si>
    <t>NA</t>
  </si>
  <si>
    <t>BROKEN SCREEN</t>
  </si>
  <si>
    <t>REPLACE SCREEN</t>
  </si>
  <si>
    <t>On-going</t>
  </si>
  <si>
    <t>ACERCOREI5</t>
  </si>
  <si>
    <t>LENOVOCOREI5</t>
  </si>
  <si>
    <t>KEYBOARD NOT WORKING</t>
  </si>
  <si>
    <t>REPLACE KEYBOARD</t>
  </si>
  <si>
    <t>Printer</t>
  </si>
  <si>
    <t>na</t>
  </si>
  <si>
    <t>Shalajane Jumawan</t>
  </si>
  <si>
    <t>CLOGGED PRINTHEAD</t>
  </si>
  <si>
    <t>Done</t>
  </si>
  <si>
    <t>None</t>
  </si>
  <si>
    <t>Sarah A. Villacencio</t>
  </si>
  <si>
    <t>Lenovo 81H6</t>
  </si>
  <si>
    <t>IDEAPAD 130-14/KB</t>
  </si>
  <si>
    <t>MP1LRS3N</t>
  </si>
  <si>
    <t>loosen USB connector,keyboard w. power not in-used, loading system</t>
  </si>
  <si>
    <t>EPSON L3210</t>
  </si>
  <si>
    <t>Kaye Aragon</t>
  </si>
  <si>
    <t>Lenovo</t>
  </si>
  <si>
    <t>Keyboard Issue/Random arrow key press</t>
  </si>
  <si>
    <t>TroubleShooting and Cleaning</t>
  </si>
  <si>
    <t>Kit Medalle</t>
  </si>
  <si>
    <t>Edmar Batoy</t>
  </si>
  <si>
    <t>PC</t>
  </si>
  <si>
    <t>NEC</t>
  </si>
  <si>
    <t>PC-VKT12HZG3</t>
  </si>
  <si>
    <t>NO POWER</t>
  </si>
  <si>
    <t>Busted fuse due to malfunction/damage power supply</t>
  </si>
  <si>
    <t>Ashley Manic</t>
  </si>
  <si>
    <t>Lenovo/81W0</t>
  </si>
  <si>
    <t>IDEAOAD 3 14ADA05</t>
  </si>
  <si>
    <t>PF2H6R8A</t>
  </si>
  <si>
    <t>Fulty Charging Board</t>
  </si>
  <si>
    <t>Changing Circuit u[[er mosfet shorted</t>
  </si>
  <si>
    <t>Lourdes Gabica</t>
  </si>
  <si>
    <t>EPSON L3110</t>
  </si>
  <si>
    <t>X93P141680</t>
  </si>
  <si>
    <t>Print(BLK) problem</t>
  </si>
  <si>
    <t>refill with counterfeit epson ink</t>
  </si>
  <si>
    <t>manual cleaning using cleaning solution</t>
  </si>
  <si>
    <t>Erica RUFINO</t>
  </si>
  <si>
    <t>Jenet Eran</t>
  </si>
  <si>
    <t>NONE</t>
  </si>
  <si>
    <t>X93P089837</t>
  </si>
  <si>
    <t>NO PRINT</t>
  </si>
  <si>
    <t>Clean Sensor path, remove waste paper</t>
  </si>
  <si>
    <t>MAY 6,2024</t>
  </si>
  <si>
    <t>COLLECTED</t>
  </si>
  <si>
    <t>MOBILE</t>
  </si>
  <si>
    <t>Mobile</t>
  </si>
  <si>
    <t>PAYABLE</t>
  </si>
  <si>
    <t xml:space="preserve"> </t>
  </si>
  <si>
    <t>DEVICE</t>
  </si>
  <si>
    <t>Others</t>
  </si>
  <si>
    <t>Month</t>
  </si>
  <si>
    <t>Krisvel John Tibor</t>
  </si>
  <si>
    <t>Samsung</t>
  </si>
  <si>
    <t>A71</t>
  </si>
  <si>
    <t>Not Charging</t>
  </si>
  <si>
    <t>Loose contact</t>
  </si>
  <si>
    <t>June</t>
  </si>
  <si>
    <t>laptop</t>
  </si>
  <si>
    <t>in may</t>
  </si>
  <si>
    <t>ON-GOING</t>
  </si>
  <si>
    <t>January</t>
  </si>
  <si>
    <t>February</t>
  </si>
  <si>
    <t>March</t>
  </si>
  <si>
    <t>April</t>
  </si>
  <si>
    <t>May</t>
  </si>
  <si>
    <t>July</t>
  </si>
  <si>
    <t>August</t>
  </si>
  <si>
    <t>September</t>
  </si>
  <si>
    <t>October</t>
  </si>
  <si>
    <t>November</t>
  </si>
  <si>
    <t>December</t>
  </si>
  <si>
    <t>MONTH</t>
  </si>
  <si>
    <t>total</t>
  </si>
  <si>
    <t>Jun</t>
  </si>
  <si>
    <t>DONE</t>
  </si>
  <si>
    <t>Claro M Recto ES</t>
  </si>
  <si>
    <t>AcerN20C5</t>
  </si>
  <si>
    <t>Aspire A315-58</t>
  </si>
  <si>
    <t>NXADDSP00K21604E72340</t>
  </si>
  <si>
    <t>Not activated MS Office</t>
  </si>
  <si>
    <t>Activate MS Office</t>
  </si>
  <si>
    <t>Amancio Bagui III</t>
  </si>
  <si>
    <t>AcerN17Q4</t>
  </si>
  <si>
    <t>Acer A314-32</t>
  </si>
  <si>
    <t>NXGVYSP00D04113BFA76</t>
  </si>
  <si>
    <t>Windows Format</t>
  </si>
  <si>
    <t>Sheena Mae Romo</t>
  </si>
  <si>
    <t>Noname</t>
  </si>
  <si>
    <t>N116</t>
  </si>
  <si>
    <t>forgot windows PW</t>
  </si>
  <si>
    <t>reset win10(1809)(32gb storage)free cleaning</t>
  </si>
  <si>
    <t>Syrel Majoreno</t>
  </si>
  <si>
    <t>Acer/N17W2</t>
  </si>
  <si>
    <t>SP513-53N578</t>
  </si>
  <si>
    <t>NXHVPSP00103100F0A6600</t>
  </si>
  <si>
    <t>no power due to water damage</t>
  </si>
  <si>
    <t>checkup</t>
  </si>
  <si>
    <t>Desedita Opolentisima</t>
  </si>
  <si>
    <t>Epson</t>
  </si>
  <si>
    <t>L3116</t>
  </si>
  <si>
    <t>X6HQ009757</t>
  </si>
  <si>
    <t>waste ink pad is full</t>
  </si>
  <si>
    <t>reset waste ink pad feeder rubber waste ink pads</t>
  </si>
  <si>
    <t>June 5 2024</t>
  </si>
  <si>
    <t>Janith Tumala</t>
  </si>
  <si>
    <t>Vivo</t>
  </si>
  <si>
    <t>Y15s</t>
  </si>
  <si>
    <t>Battery Issue</t>
  </si>
  <si>
    <t>Order and change battery</t>
  </si>
  <si>
    <t>Junmar</t>
  </si>
  <si>
    <t>Cherry</t>
  </si>
  <si>
    <t>Omeg Tablet</t>
  </si>
  <si>
    <t>Checkup(charging port issue)+ touch screen problem</t>
  </si>
  <si>
    <t>Galaxy A04</t>
  </si>
  <si>
    <t>Dead Battery</t>
  </si>
  <si>
    <t>Power Up Battery</t>
  </si>
  <si>
    <t>Xiaomi</t>
  </si>
  <si>
    <t>Poco</t>
  </si>
  <si>
    <t>Always on recovery mode</t>
  </si>
  <si>
    <t>disconnect vol up and donw</t>
  </si>
  <si>
    <t>forgot password</t>
  </si>
  <si>
    <t>reset and bypass FRP</t>
  </si>
  <si>
    <t>Joan Subrado</t>
  </si>
  <si>
    <t>09362374934/09093185710</t>
  </si>
  <si>
    <t>AMD</t>
  </si>
  <si>
    <t>A6</t>
  </si>
  <si>
    <t>reformat and LAN connectivity</t>
  </si>
  <si>
    <t>reformat and install USB to LAn adapter</t>
  </si>
  <si>
    <t>Marita Muita</t>
  </si>
  <si>
    <t>Speaker</t>
  </si>
  <si>
    <t>charging issue</t>
  </si>
  <si>
    <t>change charging IC</t>
  </si>
  <si>
    <t>Walkie Talkie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</si>
</sst>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ddd\,\ mmmm\ d\,\ yyyy"/>
    <numFmt numFmtId="165" formatCode="mmmm\ d\,\ yyyy"/>
    <numFmt numFmtId="166" formatCode="mmmm"/>
    <numFmt numFmtId="167" formatCode="mm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1" fillId="2" borderId="0" xfId="0" applyFont="1" applyFill="1"/>
    <xf numFmtId="14" fontId="0" fillId="0" borderId="1" xfId="0" applyNumberFormat="1" applyBorder="1"/>
    <xf numFmtId="15" fontId="0" fillId="0" borderId="1" xfId="0" applyNumberFormat="1" applyBorder="1"/>
    <xf numFmtId="3" fontId="0" fillId="0" borderId="1" xfId="0" applyNumberFormat="1" applyBorder="1"/>
    <xf numFmtId="164" fontId="1" fillId="2" borderId="1" xfId="0" applyNumberFormat="1" applyFont="1" applyFill="1" applyBorder="1"/>
    <xf numFmtId="164" fontId="0" fillId="0" borderId="1" xfId="0" applyNumberFormat="1" applyBorder="1"/>
    <xf numFmtId="164" fontId="0" fillId="0" borderId="0" xfId="0" applyNumberFormat="1"/>
    <xf numFmtId="165" fontId="0" fillId="0" borderId="1" xfId="0" applyNumberFormat="1" applyBorder="1"/>
    <xf numFmtId="0" fontId="0" fillId="3" borderId="0" xfId="0" applyFill="1"/>
    <xf numFmtId="0" fontId="0" fillId="4" borderId="1" xfId="0" applyFill="1" applyBorder="1"/>
    <xf numFmtId="2" fontId="0" fillId="0" borderId="1" xfId="0" applyNumberFormat="1" applyBorder="1"/>
    <xf numFmtId="4" fontId="1" fillId="2" borderId="1" xfId="0" applyNumberFormat="1" applyFont="1" applyFill="1" applyBorder="1"/>
    <xf numFmtId="4" fontId="0" fillId="0" borderId="1" xfId="0" applyNumberFormat="1" applyBorder="1"/>
    <xf numFmtId="4" fontId="0" fillId="0" borderId="0" xfId="0" applyNumberFormat="1"/>
    <xf numFmtId="166" fontId="0" fillId="0" borderId="0" xfId="0" applyNumberFormat="1"/>
    <xf numFmtId="167" fontId="1" fillId="2" borderId="0" xfId="0" applyNumberFormat="1" applyFont="1" applyFill="1"/>
    <xf numFmtId="167" fontId="0" fillId="0" borderId="1" xfId="0" applyNumberFormat="1" applyBorder="1"/>
    <xf numFmtId="2" fontId="0" fillId="0" borderId="0" xfId="0" applyNumberFormat="1"/>
    <xf numFmtId="0" fontId="0" fillId="5" borderId="0" xfId="0" applyFill="1"/>
    <xf numFmtId="166" fontId="0" fillId="0" borderId="1" xfId="0" applyNumberFormat="1" applyBorder="1"/>
    <xf numFmtId="167" fontId="0" fillId="0" borderId="0" xfId="0" applyNumberFormat="1" applyBorder="1"/>
    <xf numFmtId="166" fontId="0" fillId="0" borderId="0" xfId="0" applyNumberFormat="1" applyBorder="1"/>
    <xf numFmtId="0" fontId="0" fillId="0" borderId="0" xfId="0" applyBorder="1"/>
    <xf numFmtId="0" fontId="0" fillId="4" borderId="0" xfId="0" applyFill="1" applyBorder="1"/>
    <xf numFmtId="2" fontId="0" fillId="0" borderId="0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 OF</a:t>
            </a:r>
            <a:r>
              <a:rPr lang="en-US" baseline="0"/>
              <a:t> MAY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LABTECH_SERVICE_RECORD_DATABASE!$AC$6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LABTECH_SERVICE_RECORD_DATABASE!$AB$7:$AB$10</c:f>
              <c:numCache>
                <c:formatCode>General</c:formatCode>
                <c:ptCount val="4"/>
              </c:numCache>
            </c:numRef>
          </c:cat>
          <c:val>
            <c:numRef>
              <c:f>LABTECH_SERVICE_RECORD_DATABASE!$AC$7:$AC$10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9FD-49EF-A5DF-905AEA5A0627}"/>
            </c:ext>
          </c:extLst>
        </c:ser>
        <c:ser>
          <c:idx val="1"/>
          <c:order val="1"/>
          <c:tx>
            <c:strRef>
              <c:f>LABTECH_SERVICE_RECORD_DATABASE!$AD$6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LABTECH_SERVICE_RECORD_DATABASE!$AB$7:$AB$10</c:f>
              <c:numCache>
                <c:formatCode>General</c:formatCode>
                <c:ptCount val="4"/>
              </c:numCache>
            </c:numRef>
          </c:cat>
          <c:val>
            <c:numRef>
              <c:f>LABTECH_SERVICE_RECORD_DATABASE!$AD$7:$AD$10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99FD-49EF-A5DF-905AEA5A0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55480464"/>
        <c:axId val="1255466320"/>
        <c:axId val="0"/>
      </c:bar3DChart>
      <c:catAx>
        <c:axId val="125548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5466320"/>
        <c:crosses val="autoZero"/>
        <c:auto val="1"/>
        <c:lblAlgn val="ctr"/>
        <c:lblOffset val="100"/>
        <c:noMultiLvlLbl val="0"/>
      </c:catAx>
      <c:valAx>
        <c:axId val="125546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548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 OF</a:t>
            </a:r>
            <a:r>
              <a:rPr lang="en-US" baseline="0"/>
              <a:t> MAY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LABTECH_SERVICE_RECORD_DATABASE!$AC$6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LABTECH_SERVICE_RECORD_DATABASE!$AB$7:$AB$10</c:f>
              <c:numCache>
                <c:formatCode>General</c:formatCode>
                <c:ptCount val="4"/>
              </c:numCache>
            </c:numRef>
          </c:cat>
          <c:val>
            <c:numRef>
              <c:f>LABTECH_SERVICE_RECORD_DATABASE!$AC$7:$AC$10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316-4850-8E37-08C6AE5E97D2}"/>
            </c:ext>
          </c:extLst>
        </c:ser>
        <c:ser>
          <c:idx val="1"/>
          <c:order val="1"/>
          <c:tx>
            <c:strRef>
              <c:f>LABTECH_SERVICE_RECORD_DATABASE!$AD$6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LABTECH_SERVICE_RECORD_DATABASE!$AB$7:$AB$10</c:f>
              <c:numCache>
                <c:formatCode>General</c:formatCode>
                <c:ptCount val="4"/>
              </c:numCache>
            </c:numRef>
          </c:cat>
          <c:val>
            <c:numRef>
              <c:f>LABTECH_SERVICE_RECORD_DATABASE!$AD$7:$AD$10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316-4850-8E37-08C6AE5E9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55480464"/>
        <c:axId val="1255466320"/>
        <c:axId val="0"/>
      </c:bar3DChart>
      <c:catAx>
        <c:axId val="125548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5466320"/>
        <c:crosses val="autoZero"/>
        <c:auto val="1"/>
        <c:lblAlgn val="ctr"/>
        <c:lblOffset val="100"/>
        <c:noMultiLvlLbl val="0"/>
      </c:catAx>
      <c:valAx>
        <c:axId val="125546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548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6" noThreeD="1" sel="0" val="0"/>
</file>

<file path=xl/ctrlProps/ctrlProp2.xml><?xml version="1.0" encoding="utf-8"?>
<formControlPr xmlns="http://schemas.microsoft.com/office/spreadsheetml/2009/9/main" objectType="Drop" dropStyle="combo" dx="26" noThreeD="1" sel="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501015</xdr:colOff>
      <xdr:row>24</xdr:row>
      <xdr:rowOff>0</xdr:rowOff>
    </xdr:from>
    <xdr:ext cx="1733550" cy="3427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6790015" y="196850"/>
          <a:ext cx="1733550" cy="342786"/>
        </a:xfrm>
        <a:prstGeom prst="rect">
          <a:avLst/>
        </a:prstGeom>
        <a:solidFill>
          <a:srgbClr val="FFC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/>
            <a:t>MONTH</a:t>
          </a:r>
          <a:r>
            <a:rPr lang="en-US" sz="1600" baseline="0"/>
            <a:t> OF MAY</a:t>
          </a:r>
          <a:endParaRPr lang="en-US" sz="1600"/>
        </a:p>
      </xdr:txBody>
    </xdr:sp>
    <xdr:clientData/>
  </xdr:oneCellAnchor>
  <xdr:twoCellAnchor>
    <xdr:from>
      <xdr:col>20</xdr:col>
      <xdr:colOff>478464</xdr:colOff>
      <xdr:row>11</xdr:row>
      <xdr:rowOff>45721</xdr:rowOff>
    </xdr:from>
    <xdr:to>
      <xdr:col>39</xdr:col>
      <xdr:colOff>584200</xdr:colOff>
      <xdr:row>50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33</xdr:col>
      <xdr:colOff>320040</xdr:colOff>
      <xdr:row>22</xdr:row>
      <xdr:rowOff>76200</xdr:rowOff>
    </xdr:from>
    <xdr:ext cx="2118360" cy="34278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0083760" y="441960"/>
          <a:ext cx="2118360" cy="342786"/>
        </a:xfrm>
        <a:prstGeom prst="rect">
          <a:avLst/>
        </a:prstGeom>
        <a:solidFill>
          <a:srgbClr val="FFC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/>
            <a:t>ON-GOING</a:t>
          </a:r>
          <a:r>
            <a:rPr lang="en-US" sz="1600" baseline="0"/>
            <a:t> DEVICES</a:t>
          </a:r>
          <a:endParaRPr lang="en-US" sz="16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320040</xdr:colOff>
          <xdr:row>22</xdr:row>
          <xdr:rowOff>45720</xdr:rowOff>
        </xdr:from>
        <xdr:to>
          <xdr:col>30</xdr:col>
          <xdr:colOff>171450</xdr:colOff>
          <xdr:row>24</xdr:row>
          <xdr:rowOff>19050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501015</xdr:colOff>
      <xdr:row>1</xdr:row>
      <xdr:rowOff>19050</xdr:rowOff>
    </xdr:from>
    <xdr:ext cx="1733550" cy="3427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6553740-DA16-42F3-8A23-77B6C767EBBA}"/>
            </a:ext>
          </a:extLst>
        </xdr:cNvPr>
        <xdr:cNvSpPr txBox="1"/>
      </xdr:nvSpPr>
      <xdr:spPr>
        <a:xfrm>
          <a:off x="26791920" y="196215"/>
          <a:ext cx="1733550" cy="342786"/>
        </a:xfrm>
        <a:prstGeom prst="rect">
          <a:avLst/>
        </a:prstGeom>
        <a:solidFill>
          <a:srgbClr val="FFC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/>
            <a:t>MONTH</a:t>
          </a:r>
          <a:r>
            <a:rPr lang="en-US" sz="1600" baseline="0"/>
            <a:t> OF MAY</a:t>
          </a:r>
          <a:endParaRPr lang="en-US" sz="1600"/>
        </a:p>
      </xdr:txBody>
    </xdr:sp>
    <xdr:clientData/>
  </xdr:oneCellAnchor>
  <xdr:twoCellAnchor>
    <xdr:from>
      <xdr:col>20</xdr:col>
      <xdr:colOff>478464</xdr:colOff>
      <xdr:row>11</xdr:row>
      <xdr:rowOff>45721</xdr:rowOff>
    </xdr:from>
    <xdr:to>
      <xdr:col>39</xdr:col>
      <xdr:colOff>584200</xdr:colOff>
      <xdr:row>51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D04FD05-2F1B-4AB0-9107-3FDE8C9A24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33</xdr:col>
      <xdr:colOff>320040</xdr:colOff>
      <xdr:row>2</xdr:row>
      <xdr:rowOff>76200</xdr:rowOff>
    </xdr:from>
    <xdr:ext cx="2118360" cy="3427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80C02C2-1EEB-4DE3-8A74-F3A6C53751DF}"/>
            </a:ext>
          </a:extLst>
        </xdr:cNvPr>
        <xdr:cNvSpPr txBox="1"/>
      </xdr:nvSpPr>
      <xdr:spPr>
        <a:xfrm>
          <a:off x="32270700" y="438150"/>
          <a:ext cx="2118360" cy="342786"/>
        </a:xfrm>
        <a:prstGeom prst="rect">
          <a:avLst/>
        </a:prstGeom>
        <a:solidFill>
          <a:srgbClr val="FFC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/>
            <a:t>ON-GOING</a:t>
          </a:r>
          <a:r>
            <a:rPr lang="en-US" sz="1600" baseline="0"/>
            <a:t> DEVICES</a:t>
          </a:r>
          <a:endParaRPr lang="en-US" sz="16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320040</xdr:colOff>
          <xdr:row>2</xdr:row>
          <xdr:rowOff>45720</xdr:rowOff>
        </xdr:from>
        <xdr:to>
          <xdr:col>30</xdr:col>
          <xdr:colOff>171450</xdr:colOff>
          <xdr:row>4</xdr:row>
          <xdr:rowOff>19050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E97E06A3-B34C-4923-A060-F5B89A734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DD1B6-706B-4074-8E1C-B2CB0A843C7C}">
  <sheetPr codeName="Sheet1"/>
  <dimension ref="A1:AK1048572"/>
  <sheetViews>
    <sheetView tabSelected="1" zoomScale="80" zoomScaleNormal="80" workbookViewId="0">
      <selection activeCell="I10" sqref="I10"/>
    </sheetView>
  </sheetViews>
  <sheetFormatPr defaultRowHeight="14.4" x14ac:dyDescent="0.3"/>
  <cols>
    <col min="2" max="2" width="30.33203125" style="9" customWidth="1"/>
    <col min="3" max="3" width="13.109375" customWidth="1"/>
    <col min="4" max="4" width="15.77734375" customWidth="1"/>
    <col min="5" max="5" width="14.77734375" customWidth="1"/>
    <col min="6" max="6" width="15" customWidth="1"/>
    <col min="7" max="7" width="20.21875" customWidth="1"/>
    <col min="8" max="8" width="15.33203125" customWidth="1"/>
    <col min="9" max="9" width="15.6640625" customWidth="1"/>
    <col min="10" max="10" width="16.33203125" customWidth="1"/>
    <col min="11" max="11" width="17.109375" customWidth="1"/>
    <col min="12" max="12" width="13.33203125" customWidth="1"/>
    <col min="13" max="13" width="15.6640625" customWidth="1"/>
    <col min="14" max="14" width="20.44140625" customWidth="1"/>
    <col min="15" max="15" width="14.33203125" customWidth="1"/>
    <col min="16" max="16" width="14.33203125" style="16" customWidth="1"/>
    <col min="17" max="17" width="14.77734375" style="16" customWidth="1"/>
    <col min="18" max="18" width="25.5546875" style="17" customWidth="1"/>
    <col min="19" max="19" width="25.44140625" bestFit="1" customWidth="1"/>
    <col min="22" max="22" width="12.6640625" customWidth="1"/>
    <col min="28" max="28" width="13.109375" customWidth="1"/>
    <col min="29" max="29" width="13.77734375" customWidth="1"/>
    <col min="30" max="30" width="11.21875" customWidth="1"/>
    <col min="35" max="35" width="12.44140625" customWidth="1"/>
    <col min="36" max="36" width="10.6640625" customWidth="1"/>
  </cols>
  <sheetData>
    <row r="1" spans="1:37" s="3" customFormat="1" x14ac:dyDescent="0.3">
      <c r="A1" s="2" t="s">
        <v>14</v>
      </c>
      <c r="B1" s="7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4" t="s">
        <v>69</v>
      </c>
      <c r="Q1" s="14" t="s">
        <v>66</v>
      </c>
      <c r="R1" s="18" t="s">
        <v>73</v>
      </c>
    </row>
    <row r="2" spans="1:37" x14ac:dyDescent="0.3">
      <c r="A2" s="1">
        <f>ROW()-1</f>
        <v>1</v>
      </c>
      <c r="B2" s="8">
        <v>45454</v>
      </c>
      <c r="C2" s="1" t="s">
        <v>72</v>
      </c>
      <c r="D2" s="1" t="s">
        <v>155</v>
      </c>
      <c r="E2" s="1" t="s">
        <v>16</v>
      </c>
      <c r="F2" s="1" t="s">
        <v>16</v>
      </c>
      <c r="G2" s="1" t="s">
        <v>29</v>
      </c>
      <c r="H2" s="1" t="s">
        <v>29</v>
      </c>
      <c r="I2" s="1" t="s">
        <v>16</v>
      </c>
      <c r="J2" s="1" t="s">
        <v>16</v>
      </c>
      <c r="K2" s="1" t="s">
        <v>16</v>
      </c>
      <c r="L2" s="1" t="s">
        <v>28</v>
      </c>
      <c r="M2" s="1">
        <v>250</v>
      </c>
      <c r="N2" s="1"/>
      <c r="O2" s="5">
        <v>45450</v>
      </c>
      <c r="P2" s="15"/>
      <c r="Q2" s="15">
        <v>250</v>
      </c>
      <c r="R2" s="22" t="s">
        <v>79</v>
      </c>
    </row>
    <row r="3" spans="1:37" x14ac:dyDescent="0.3">
      <c r="A3" s="1">
        <f>ROW()-1</f>
        <v>2</v>
      </c>
      <c r="B3" s="8">
        <v>45454</v>
      </c>
      <c r="C3" s="1" t="s">
        <v>72</v>
      </c>
      <c r="D3" s="1" t="s">
        <v>152</v>
      </c>
      <c r="E3" s="1" t="s">
        <v>16</v>
      </c>
      <c r="F3" s="1" t="s">
        <v>16</v>
      </c>
      <c r="G3" s="1" t="s">
        <v>151</v>
      </c>
      <c r="H3" s="1">
        <v>9675844941</v>
      </c>
      <c r="I3" s="1" t="s">
        <v>153</v>
      </c>
      <c r="J3" s="1" t="s">
        <v>25</v>
      </c>
      <c r="K3" s="1" t="s">
        <v>154</v>
      </c>
      <c r="L3" s="1" t="s">
        <v>28</v>
      </c>
      <c r="M3" s="1">
        <v>250</v>
      </c>
      <c r="N3" s="1"/>
      <c r="O3" s="5">
        <v>45449</v>
      </c>
      <c r="P3" s="15"/>
      <c r="Q3" s="15">
        <v>250</v>
      </c>
      <c r="R3" s="22" t="s">
        <v>79</v>
      </c>
    </row>
    <row r="4" spans="1:37" x14ac:dyDescent="0.3">
      <c r="A4" s="1">
        <f>ROW()-1</f>
        <v>3</v>
      </c>
      <c r="B4" s="8">
        <v>45454</v>
      </c>
      <c r="C4" s="1" t="s">
        <v>42</v>
      </c>
      <c r="D4" s="1" t="s">
        <v>147</v>
      </c>
      <c r="E4" s="1" t="s">
        <v>148</v>
      </c>
      <c r="F4" s="1" t="s">
        <v>16</v>
      </c>
      <c r="G4" s="1" t="s">
        <v>145</v>
      </c>
      <c r="H4" s="1" t="s">
        <v>146</v>
      </c>
      <c r="I4" s="1" t="s">
        <v>149</v>
      </c>
      <c r="J4" s="1" t="s">
        <v>25</v>
      </c>
      <c r="K4" s="1" t="s">
        <v>150</v>
      </c>
      <c r="L4" s="1" t="s">
        <v>28</v>
      </c>
      <c r="M4" s="1">
        <v>450</v>
      </c>
      <c r="N4" s="1">
        <v>250</v>
      </c>
      <c r="O4" s="5">
        <v>45451</v>
      </c>
      <c r="P4" s="15" t="s">
        <v>70</v>
      </c>
      <c r="Q4" s="15">
        <v>450</v>
      </c>
      <c r="R4" s="22" t="s">
        <v>79</v>
      </c>
    </row>
    <row r="5" spans="1:37" x14ac:dyDescent="0.3">
      <c r="A5" s="1">
        <f>ROW()-1</f>
        <v>4</v>
      </c>
      <c r="B5" s="8">
        <v>45454</v>
      </c>
      <c r="C5" s="1" t="s">
        <v>68</v>
      </c>
      <c r="D5" s="1" t="s">
        <v>75</v>
      </c>
      <c r="E5" s="1" t="s">
        <v>136</v>
      </c>
      <c r="F5" s="1" t="s">
        <v>16</v>
      </c>
      <c r="G5" s="1" t="s">
        <v>41</v>
      </c>
      <c r="H5" s="1">
        <v>9760125378</v>
      </c>
      <c r="I5" s="1" t="s">
        <v>143</v>
      </c>
      <c r="J5" s="1" t="s">
        <v>25</v>
      </c>
      <c r="K5" s="1" t="s">
        <v>144</v>
      </c>
      <c r="L5" s="1" t="s">
        <v>19</v>
      </c>
      <c r="M5" s="1">
        <v>650</v>
      </c>
      <c r="N5" s="1"/>
      <c r="O5" s="1" t="s">
        <v>16</v>
      </c>
      <c r="P5" s="15">
        <v>650</v>
      </c>
      <c r="Q5" s="15"/>
      <c r="R5" s="22" t="s">
        <v>79</v>
      </c>
    </row>
    <row r="6" spans="1:37" x14ac:dyDescent="0.3">
      <c r="A6" s="1">
        <f>ROW()-1</f>
        <v>5</v>
      </c>
      <c r="B6" s="8">
        <v>45454</v>
      </c>
      <c r="C6" s="1" t="s">
        <v>68</v>
      </c>
      <c r="D6" s="1" t="s">
        <v>139</v>
      </c>
      <c r="E6" s="1" t="s">
        <v>140</v>
      </c>
      <c r="F6" s="1" t="s">
        <v>16</v>
      </c>
      <c r="G6" s="1" t="s">
        <v>29</v>
      </c>
      <c r="H6" s="1" t="s">
        <v>29</v>
      </c>
      <c r="I6" s="1" t="s">
        <v>141</v>
      </c>
      <c r="J6" s="1" t="s">
        <v>25</v>
      </c>
      <c r="K6" s="1" t="s">
        <v>142</v>
      </c>
      <c r="L6" s="1" t="s">
        <v>28</v>
      </c>
      <c r="M6" s="1">
        <v>500</v>
      </c>
      <c r="N6" s="1" t="s">
        <v>16</v>
      </c>
      <c r="O6" s="5">
        <v>45453</v>
      </c>
      <c r="P6" s="15"/>
      <c r="Q6" s="15">
        <v>500</v>
      </c>
      <c r="R6" s="22" t="s">
        <v>79</v>
      </c>
      <c r="AB6" s="1"/>
      <c r="AC6" s="1"/>
      <c r="AD6" s="1"/>
      <c r="AI6" s="1"/>
      <c r="AJ6" s="1"/>
    </row>
    <row r="7" spans="1:37" x14ac:dyDescent="0.3">
      <c r="A7" s="1">
        <f>ROW()-1</f>
        <v>6</v>
      </c>
      <c r="B7" s="8">
        <v>45454</v>
      </c>
      <c r="C7" s="1" t="s">
        <v>68</v>
      </c>
      <c r="D7" s="1" t="s">
        <v>75</v>
      </c>
      <c r="E7" s="1" t="s">
        <v>136</v>
      </c>
      <c r="F7" s="1" t="s">
        <v>16</v>
      </c>
      <c r="G7" s="1" t="s">
        <v>41</v>
      </c>
      <c r="H7" s="1">
        <v>9760125378</v>
      </c>
      <c r="I7" s="1" t="s">
        <v>137</v>
      </c>
      <c r="J7" s="1" t="s">
        <v>16</v>
      </c>
      <c r="K7" s="1" t="s">
        <v>138</v>
      </c>
      <c r="L7" s="1" t="s">
        <v>28</v>
      </c>
      <c r="M7" s="1">
        <v>450</v>
      </c>
      <c r="N7" s="1" t="s">
        <v>16</v>
      </c>
      <c r="O7" s="5">
        <v>45450</v>
      </c>
      <c r="P7" s="15"/>
      <c r="Q7" s="15">
        <v>450</v>
      </c>
      <c r="R7" s="22" t="s">
        <v>79</v>
      </c>
      <c r="AB7" s="1"/>
      <c r="AC7" s="1"/>
      <c r="AD7" s="1"/>
      <c r="AI7" s="1"/>
      <c r="AJ7" s="1"/>
    </row>
    <row r="8" spans="1:37" x14ac:dyDescent="0.3">
      <c r="A8" s="1">
        <f>ROW()-1</f>
        <v>7</v>
      </c>
      <c r="B8" s="8">
        <v>45454</v>
      </c>
      <c r="C8" s="1" t="s">
        <v>68</v>
      </c>
      <c r="D8" s="1" t="s">
        <v>133</v>
      </c>
      <c r="E8" s="1" t="s">
        <v>134</v>
      </c>
      <c r="F8" s="1" t="s">
        <v>16</v>
      </c>
      <c r="G8" s="1" t="s">
        <v>132</v>
      </c>
      <c r="H8" s="1">
        <v>9552945117</v>
      </c>
      <c r="I8" s="1" t="s">
        <v>135</v>
      </c>
      <c r="J8" s="1" t="s">
        <v>25</v>
      </c>
      <c r="K8" s="1" t="s">
        <v>119</v>
      </c>
      <c r="L8" s="1" t="s">
        <v>28</v>
      </c>
      <c r="M8" s="1">
        <v>250</v>
      </c>
      <c r="N8" s="1" t="s">
        <v>16</v>
      </c>
      <c r="O8" s="5">
        <v>45449</v>
      </c>
      <c r="P8" s="15"/>
      <c r="Q8" s="15">
        <v>250</v>
      </c>
      <c r="R8" s="22" t="s">
        <v>79</v>
      </c>
      <c r="AB8" s="1"/>
      <c r="AC8" s="1"/>
      <c r="AD8" s="1"/>
      <c r="AI8" s="1"/>
      <c r="AJ8" s="1"/>
    </row>
    <row r="9" spans="1:37" x14ac:dyDescent="0.3">
      <c r="A9" s="1">
        <f>ROW()-1</f>
        <v>8</v>
      </c>
      <c r="B9" s="8">
        <v>45454</v>
      </c>
      <c r="C9" s="1" t="s">
        <v>68</v>
      </c>
      <c r="D9" s="1" t="s">
        <v>128</v>
      </c>
      <c r="E9" s="1" t="s">
        <v>129</v>
      </c>
      <c r="F9" s="1" t="s">
        <v>16</v>
      </c>
      <c r="G9" s="1" t="s">
        <v>127</v>
      </c>
      <c r="H9" s="1">
        <v>9850106607</v>
      </c>
      <c r="I9" s="1" t="s">
        <v>130</v>
      </c>
      <c r="J9" s="1" t="s">
        <v>16</v>
      </c>
      <c r="K9" s="1" t="s">
        <v>131</v>
      </c>
      <c r="L9" s="1" t="s">
        <v>28</v>
      </c>
      <c r="M9" s="1"/>
      <c r="N9" s="1">
        <v>850</v>
      </c>
      <c r="O9" s="5">
        <v>45449</v>
      </c>
      <c r="P9" s="15"/>
      <c r="Q9" s="15">
        <v>850</v>
      </c>
      <c r="R9" s="22" t="s">
        <v>79</v>
      </c>
      <c r="AB9" s="1"/>
      <c r="AC9" s="1"/>
      <c r="AD9" s="1"/>
      <c r="AI9" s="1"/>
      <c r="AJ9" s="1"/>
    </row>
    <row r="10" spans="1:37" x14ac:dyDescent="0.3">
      <c r="A10" s="1">
        <f>ROW()-1</f>
        <v>9</v>
      </c>
      <c r="B10" s="8">
        <v>45454</v>
      </c>
      <c r="C10" s="1" t="s">
        <v>24</v>
      </c>
      <c r="D10" s="1" t="s">
        <v>121</v>
      </c>
      <c r="E10" s="1" t="s">
        <v>122</v>
      </c>
      <c r="F10" s="1" t="s">
        <v>123</v>
      </c>
      <c r="G10" s="1" t="s">
        <v>120</v>
      </c>
      <c r="H10" s="1">
        <v>9364469407</v>
      </c>
      <c r="I10" s="1" t="s">
        <v>124</v>
      </c>
      <c r="J10" s="1" t="s">
        <v>16</v>
      </c>
      <c r="K10" s="1" t="s">
        <v>125</v>
      </c>
      <c r="L10" s="1" t="s">
        <v>28</v>
      </c>
      <c r="M10" s="1">
        <v>700</v>
      </c>
      <c r="N10" s="1">
        <v>600</v>
      </c>
      <c r="O10" s="1" t="s">
        <v>126</v>
      </c>
      <c r="P10" s="15"/>
      <c r="Q10" s="15">
        <v>700</v>
      </c>
      <c r="R10" s="19" t="s">
        <v>79</v>
      </c>
      <c r="AB10" s="1"/>
      <c r="AC10" s="1"/>
      <c r="AD10" s="1"/>
      <c r="AI10" s="1"/>
      <c r="AJ10" s="1"/>
    </row>
    <row r="11" spans="1:37" x14ac:dyDescent="0.3">
      <c r="A11" s="1">
        <f>ROW()-1</f>
        <v>10</v>
      </c>
      <c r="B11" s="8">
        <v>45454</v>
      </c>
      <c r="C11" s="1" t="s">
        <v>15</v>
      </c>
      <c r="D11" s="1" t="s">
        <v>115</v>
      </c>
      <c r="E11" s="1" t="s">
        <v>116</v>
      </c>
      <c r="F11" s="1" t="s">
        <v>117</v>
      </c>
      <c r="G11" s="1" t="s">
        <v>114</v>
      </c>
      <c r="H11" s="1">
        <v>9555100179</v>
      </c>
      <c r="I11" s="1" t="s">
        <v>118</v>
      </c>
      <c r="J11" s="1" t="s">
        <v>25</v>
      </c>
      <c r="K11" s="1" t="s">
        <v>119</v>
      </c>
      <c r="L11" s="1" t="s">
        <v>28</v>
      </c>
      <c r="M11" s="1">
        <v>500</v>
      </c>
      <c r="N11" s="1" t="s">
        <v>16</v>
      </c>
      <c r="O11" s="5">
        <v>45453</v>
      </c>
      <c r="P11" s="15"/>
      <c r="Q11" s="15">
        <v>500</v>
      </c>
      <c r="R11" s="19" t="s">
        <v>79</v>
      </c>
    </row>
    <row r="12" spans="1:37" x14ac:dyDescent="0.3">
      <c r="A12" s="1">
        <f>ROW()-1</f>
        <v>11</v>
      </c>
      <c r="B12" s="8">
        <v>45454</v>
      </c>
      <c r="C12" s="1" t="s">
        <v>15</v>
      </c>
      <c r="D12" s="1" t="s">
        <v>110</v>
      </c>
      <c r="E12" s="1" t="s">
        <v>111</v>
      </c>
      <c r="F12" s="1" t="s">
        <v>25</v>
      </c>
      <c r="G12" s="1" t="s">
        <v>109</v>
      </c>
      <c r="H12" s="1">
        <v>9551060600</v>
      </c>
      <c r="I12" s="1" t="s">
        <v>112</v>
      </c>
      <c r="J12" s="1" t="s">
        <v>16</v>
      </c>
      <c r="K12" s="1" t="s">
        <v>113</v>
      </c>
      <c r="L12" s="1" t="s">
        <v>28</v>
      </c>
      <c r="M12" s="1">
        <v>450</v>
      </c>
      <c r="N12" s="1" t="s">
        <v>16</v>
      </c>
      <c r="O12" s="5">
        <v>45450</v>
      </c>
      <c r="P12" s="15"/>
      <c r="Q12" s="15">
        <v>450</v>
      </c>
      <c r="R12" s="19" t="s">
        <v>79</v>
      </c>
    </row>
    <row r="13" spans="1:37" x14ac:dyDescent="0.3">
      <c r="A13" s="1">
        <f>ROW()-1</f>
        <v>12</v>
      </c>
      <c r="B13" s="8">
        <v>45454</v>
      </c>
      <c r="C13" s="1" t="s">
        <v>15</v>
      </c>
      <c r="D13" s="1" t="s">
        <v>105</v>
      </c>
      <c r="E13" s="1" t="s">
        <v>106</v>
      </c>
      <c r="F13" s="1" t="s">
        <v>107</v>
      </c>
      <c r="G13" s="1" t="s">
        <v>104</v>
      </c>
      <c r="H13" s="1">
        <v>959269189</v>
      </c>
      <c r="I13" s="1" t="s">
        <v>108</v>
      </c>
      <c r="J13" s="1" t="s">
        <v>16</v>
      </c>
      <c r="K13" s="1" t="s">
        <v>108</v>
      </c>
      <c r="L13" s="1" t="s">
        <v>28</v>
      </c>
      <c r="M13" s="1">
        <v>350</v>
      </c>
      <c r="N13" s="1" t="s">
        <v>16</v>
      </c>
      <c r="O13" s="5">
        <v>45447</v>
      </c>
      <c r="P13" s="15"/>
      <c r="Q13" s="15">
        <v>350</v>
      </c>
      <c r="R13" s="19" t="s">
        <v>79</v>
      </c>
    </row>
    <row r="14" spans="1:37" x14ac:dyDescent="0.3">
      <c r="A14" s="1">
        <f>ROW()-1</f>
        <v>13</v>
      </c>
      <c r="B14" s="8">
        <v>45454</v>
      </c>
      <c r="C14" s="1" t="s">
        <v>15</v>
      </c>
      <c r="D14" s="1" t="s">
        <v>99</v>
      </c>
      <c r="E14" s="1" t="s">
        <v>100</v>
      </c>
      <c r="F14" s="1" t="s">
        <v>101</v>
      </c>
      <c r="G14" s="1" t="s">
        <v>98</v>
      </c>
      <c r="H14" s="1">
        <v>0</v>
      </c>
      <c r="I14" s="1" t="s">
        <v>102</v>
      </c>
      <c r="J14" s="1" t="s">
        <v>16</v>
      </c>
      <c r="K14" s="1" t="s">
        <v>103</v>
      </c>
      <c r="L14" s="1" t="s">
        <v>28</v>
      </c>
      <c r="M14" s="1">
        <v>250</v>
      </c>
      <c r="N14" s="1" t="s">
        <v>16</v>
      </c>
      <c r="O14" s="5">
        <v>45449</v>
      </c>
      <c r="P14" s="15"/>
      <c r="Q14" s="15">
        <v>250</v>
      </c>
      <c r="R14" s="19" t="s">
        <v>79</v>
      </c>
    </row>
    <row r="15" spans="1:37" x14ac:dyDescent="0.3">
      <c r="A15" s="1">
        <f>ROW()-1</f>
        <v>14</v>
      </c>
      <c r="B15" s="8">
        <v>45448</v>
      </c>
      <c r="C15" s="1" t="s">
        <v>68</v>
      </c>
      <c r="D15" s="1" t="s">
        <v>75</v>
      </c>
      <c r="E15" s="1" t="s">
        <v>76</v>
      </c>
      <c r="F15" s="1" t="s">
        <v>16</v>
      </c>
      <c r="G15" s="1" t="s">
        <v>74</v>
      </c>
      <c r="H15" s="1">
        <v>9262358281</v>
      </c>
      <c r="I15" s="1" t="s">
        <v>77</v>
      </c>
      <c r="J15" s="1" t="s">
        <v>78</v>
      </c>
      <c r="K15" s="1" t="s">
        <v>16</v>
      </c>
      <c r="L15" s="1" t="s">
        <v>28</v>
      </c>
      <c r="M15" s="1"/>
      <c r="N15" s="1"/>
      <c r="O15" s="5">
        <v>45448</v>
      </c>
      <c r="P15" s="15"/>
      <c r="Q15" s="15">
        <v>450</v>
      </c>
      <c r="R15" s="19" t="str">
        <f>TEXT(B15,"mmmm")</f>
        <v>June</v>
      </c>
      <c r="U15" s="11"/>
      <c r="V15" s="11"/>
    </row>
    <row r="16" spans="1:37" x14ac:dyDescent="0.3">
      <c r="A16" s="1">
        <f>ROW()-1</f>
        <v>15</v>
      </c>
      <c r="B16" s="10">
        <v>45444</v>
      </c>
      <c r="C16" s="1" t="s">
        <v>24</v>
      </c>
      <c r="D16" s="1" t="s">
        <v>54</v>
      </c>
      <c r="E16" s="1" t="s">
        <v>61</v>
      </c>
      <c r="F16" s="1" t="s">
        <v>62</v>
      </c>
      <c r="G16" s="1" t="s">
        <v>60</v>
      </c>
      <c r="H16" s="1">
        <v>9651022138</v>
      </c>
      <c r="I16" s="1" t="s">
        <v>63</v>
      </c>
      <c r="J16" s="1" t="s">
        <v>16</v>
      </c>
      <c r="K16" s="1" t="s">
        <v>64</v>
      </c>
      <c r="L16" s="1" t="s">
        <v>28</v>
      </c>
      <c r="M16" s="1">
        <v>350</v>
      </c>
      <c r="N16" s="1" t="s">
        <v>16</v>
      </c>
      <c r="O16" s="1" t="s">
        <v>65</v>
      </c>
      <c r="P16" s="15"/>
      <c r="Q16" s="15">
        <v>350</v>
      </c>
      <c r="R16" s="19" t="str">
        <f>TEXT(B16,"mmmm")</f>
        <v>June</v>
      </c>
      <c r="U16" s="11"/>
      <c r="V16" s="11"/>
      <c r="AB16" s="26" t="s">
        <v>67</v>
      </c>
      <c r="AC16" s="27">
        <f>SUMIF(C8:C16,AB16, P8:P16)</f>
        <v>0</v>
      </c>
      <c r="AD16" s="27">
        <f>SUMIF(C8:C16,AB16, Q8:Q16)</f>
        <v>1550</v>
      </c>
      <c r="AI16" s="25" t="s">
        <v>68</v>
      </c>
      <c r="AJ16" s="25">
        <f>COUNTIFS($C:$C,$AI16,$L:$L,AJ12)</f>
        <v>0</v>
      </c>
      <c r="AK16">
        <f>COUNTIFS($C:$C,$AI16,$L:$L,AK12)</f>
        <v>0</v>
      </c>
    </row>
    <row r="17" spans="1:37" x14ac:dyDescent="0.3">
      <c r="A17" s="1">
        <f>ROW()-1</f>
        <v>16</v>
      </c>
      <c r="B17" s="10">
        <v>45442.727662037039</v>
      </c>
      <c r="C17" s="1" t="s">
        <v>24</v>
      </c>
      <c r="D17" s="1" t="s">
        <v>54</v>
      </c>
      <c r="E17" s="1" t="s">
        <v>16</v>
      </c>
      <c r="F17" s="1" t="s">
        <v>55</v>
      </c>
      <c r="G17" s="1" t="s">
        <v>53</v>
      </c>
      <c r="H17" s="1">
        <v>9755224219</v>
      </c>
      <c r="I17" s="1" t="s">
        <v>56</v>
      </c>
      <c r="J17" s="1" t="s">
        <v>57</v>
      </c>
      <c r="K17" s="1" t="s">
        <v>58</v>
      </c>
      <c r="L17" s="1" t="s">
        <v>28</v>
      </c>
      <c r="M17" s="1">
        <v>650</v>
      </c>
      <c r="N17" s="1" t="s">
        <v>16</v>
      </c>
      <c r="O17" s="5">
        <v>45423</v>
      </c>
      <c r="P17" s="15"/>
      <c r="Q17" s="15">
        <v>650</v>
      </c>
      <c r="R17" s="23" t="str">
        <f>TEXT(B17,"mmmm")</f>
        <v>May</v>
      </c>
      <c r="U17" s="11"/>
      <c r="V17" s="11"/>
      <c r="AB17" s="26" t="s">
        <v>42</v>
      </c>
      <c r="AC17" s="27">
        <f>SUMIF(C10:C18,AB17, P10:P18)</f>
        <v>0</v>
      </c>
      <c r="AD17" s="27">
        <f>SUMIF(C10:C18,AB17, Q10:Q18)</f>
        <v>0</v>
      </c>
      <c r="AI17" s="25" t="s">
        <v>42</v>
      </c>
      <c r="AJ17" s="25">
        <f>COUNTIFS($C:$C,$AI17,$L:$L,AJ14)</f>
        <v>0</v>
      </c>
      <c r="AK17">
        <f>COUNTIFS($C:$C,$AI17,$L:$L,AK14)</f>
        <v>0</v>
      </c>
    </row>
    <row r="18" spans="1:37" x14ac:dyDescent="0.3">
      <c r="A18" s="1">
        <f>ROW()-1</f>
        <v>17</v>
      </c>
      <c r="B18" s="10">
        <v>45442.68986111111</v>
      </c>
      <c r="C18" s="1" t="s">
        <v>15</v>
      </c>
      <c r="D18" s="1" t="s">
        <v>48</v>
      </c>
      <c r="E18" s="1" t="s">
        <v>49</v>
      </c>
      <c r="F18" s="1" t="s">
        <v>50</v>
      </c>
      <c r="G18" s="1" t="s">
        <v>47</v>
      </c>
      <c r="H18" s="1">
        <v>9124522194</v>
      </c>
      <c r="I18" s="1" t="s">
        <v>51</v>
      </c>
      <c r="J18" s="1" t="s">
        <v>52</v>
      </c>
      <c r="K18" s="1" t="s">
        <v>16</v>
      </c>
      <c r="L18" s="1" t="s">
        <v>28</v>
      </c>
      <c r="M18" s="6">
        <v>1500</v>
      </c>
      <c r="N18" s="1" t="s">
        <v>16</v>
      </c>
      <c r="O18" s="1" t="s">
        <v>16</v>
      </c>
      <c r="P18" s="15"/>
      <c r="Q18" s="15">
        <v>1500</v>
      </c>
      <c r="R18" s="23" t="str">
        <f>TEXT(B18,"mmmm")</f>
        <v>May</v>
      </c>
      <c r="U18" s="11"/>
      <c r="V18" s="11"/>
      <c r="AB18" s="26" t="s">
        <v>24</v>
      </c>
      <c r="AC18" s="27">
        <f>SUMIF(C12:C20,AB18, P12:P20)</f>
        <v>0</v>
      </c>
      <c r="AD18" s="27">
        <f>SUMIF($C:$C,AB18, $Q:$Q)</f>
        <v>1700</v>
      </c>
      <c r="AI18" s="25" t="s">
        <v>24</v>
      </c>
      <c r="AJ18" s="25">
        <f>COUNTIFS($C:$C,$AI18,$L:$L,AJ16)</f>
        <v>0</v>
      </c>
      <c r="AK18">
        <f>COUNTIFS($C:$C,$AI18,$L:$L,AK16)</f>
        <v>0</v>
      </c>
    </row>
    <row r="19" spans="1:37" x14ac:dyDescent="0.3">
      <c r="A19" s="1">
        <f>ROW()-1</f>
        <v>18</v>
      </c>
      <c r="B19" s="10">
        <v>45442.663310185184</v>
      </c>
      <c r="C19" s="1" t="s">
        <v>42</v>
      </c>
      <c r="D19" s="1" t="s">
        <v>43</v>
      </c>
      <c r="E19" s="1" t="s">
        <v>44</v>
      </c>
      <c r="F19" s="1" t="s">
        <v>16</v>
      </c>
      <c r="G19" s="1" t="s">
        <v>41</v>
      </c>
      <c r="H19" s="1">
        <v>9760125378</v>
      </c>
      <c r="I19" s="1" t="s">
        <v>45</v>
      </c>
      <c r="J19" s="1" t="s">
        <v>46</v>
      </c>
      <c r="K19" s="1" t="s">
        <v>16</v>
      </c>
      <c r="L19" s="1" t="s">
        <v>28</v>
      </c>
      <c r="M19" s="1">
        <v>1500</v>
      </c>
      <c r="N19" s="1" t="s">
        <v>16</v>
      </c>
      <c r="O19" s="5">
        <v>45422</v>
      </c>
      <c r="P19" s="15"/>
      <c r="Q19" s="15">
        <v>1500</v>
      </c>
      <c r="R19" s="23" t="str">
        <f>TEXT(B19,"mmmm")</f>
        <v>May</v>
      </c>
      <c r="U19" s="11"/>
      <c r="V19" s="11"/>
      <c r="W19" t="s">
        <v>80</v>
      </c>
      <c r="X19">
        <f>COUNTIFS($C:$C,"Laptop",$L:$L,"On-going",$R:$R,"May")</f>
        <v>1</v>
      </c>
      <c r="AB19" s="26" t="s">
        <v>15</v>
      </c>
      <c r="AC19" s="27"/>
      <c r="AD19" s="27">
        <f>SUMIFS(Q14:Q23,C14:C23,AB19,R14:R23,AA17)</f>
        <v>0</v>
      </c>
      <c r="AI19" s="25" t="s">
        <v>15</v>
      </c>
      <c r="AJ19" s="25">
        <f>COUNTIFS($C:$C,$AI19,$L:$L,AJ18)</f>
        <v>0</v>
      </c>
      <c r="AK19">
        <f>COUNTIFS($C:$C,$AI19,$L:$L,AK18)</f>
        <v>0</v>
      </c>
    </row>
    <row r="20" spans="1:37" x14ac:dyDescent="0.3">
      <c r="A20" s="1">
        <f>ROW()-1</f>
        <v>19</v>
      </c>
      <c r="B20" s="10">
        <v>45442.655775462961</v>
      </c>
      <c r="C20" s="1" t="s">
        <v>15</v>
      </c>
      <c r="D20" s="1" t="s">
        <v>37</v>
      </c>
      <c r="E20" s="1" t="s">
        <v>16</v>
      </c>
      <c r="F20" s="1" t="s">
        <v>16</v>
      </c>
      <c r="G20" s="1" t="s">
        <v>36</v>
      </c>
      <c r="H20" s="1">
        <v>757567567</v>
      </c>
      <c r="I20" s="1" t="s">
        <v>38</v>
      </c>
      <c r="J20" s="1" t="s">
        <v>29</v>
      </c>
      <c r="K20" s="1" t="s">
        <v>39</v>
      </c>
      <c r="L20" s="1" t="s">
        <v>28</v>
      </c>
      <c r="M20" s="1">
        <v>250</v>
      </c>
      <c r="N20" s="1" t="s">
        <v>29</v>
      </c>
      <c r="O20" s="5">
        <v>45416</v>
      </c>
      <c r="P20" s="15"/>
      <c r="Q20" s="15">
        <v>450</v>
      </c>
      <c r="R20" s="23" t="str">
        <f>TEXT(B20,"mmmm")</f>
        <v>May</v>
      </c>
      <c r="U20" s="11"/>
      <c r="V20" s="11"/>
      <c r="W20" t="s">
        <v>81</v>
      </c>
      <c r="X20" t="s">
        <v>82</v>
      </c>
      <c r="AB20" s="25" t="s">
        <v>1</v>
      </c>
      <c r="AC20" s="26" t="s">
        <v>69</v>
      </c>
      <c r="AD20" s="26" t="s">
        <v>66</v>
      </c>
      <c r="AI20" s="25" t="s">
        <v>71</v>
      </c>
      <c r="AJ20" s="25" t="s">
        <v>19</v>
      </c>
      <c r="AK20" t="s">
        <v>28</v>
      </c>
    </row>
    <row r="21" spans="1:37" x14ac:dyDescent="0.3">
      <c r="A21" s="1">
        <f>ROW()-1</f>
        <v>20</v>
      </c>
      <c r="B21" s="10">
        <v>45442.611539351848</v>
      </c>
      <c r="C21" s="1" t="s">
        <v>15</v>
      </c>
      <c r="D21" s="1" t="s">
        <v>31</v>
      </c>
      <c r="E21" s="1" t="s">
        <v>32</v>
      </c>
      <c r="F21" s="1" t="s">
        <v>33</v>
      </c>
      <c r="G21" s="1" t="s">
        <v>30</v>
      </c>
      <c r="H21" s="1">
        <v>9606447146</v>
      </c>
      <c r="I21" s="1" t="s">
        <v>34</v>
      </c>
      <c r="J21" s="1" t="s">
        <v>16</v>
      </c>
      <c r="K21" s="1" t="s">
        <v>16</v>
      </c>
      <c r="L21" s="1" t="s">
        <v>28</v>
      </c>
      <c r="M21" s="1">
        <v>850</v>
      </c>
      <c r="N21" s="1">
        <v>2950</v>
      </c>
      <c r="O21" s="1" t="s">
        <v>16</v>
      </c>
      <c r="P21" s="15"/>
      <c r="Q21" s="15">
        <v>850</v>
      </c>
      <c r="R21" s="23" t="str">
        <f>TEXT(B21,"mmmm")</f>
        <v>May</v>
      </c>
      <c r="U21" s="11"/>
      <c r="V21" s="11"/>
      <c r="AA21" t="s">
        <v>87</v>
      </c>
    </row>
    <row r="22" spans="1:37" x14ac:dyDescent="0.3">
      <c r="A22" s="1">
        <f>ROW()-1</f>
        <v>21</v>
      </c>
      <c r="B22" s="10">
        <v>45441.641608796293</v>
      </c>
      <c r="C22" s="1" t="s">
        <v>24</v>
      </c>
      <c r="D22" s="1" t="s">
        <v>35</v>
      </c>
      <c r="E22" s="1" t="s">
        <v>16</v>
      </c>
      <c r="F22" s="1" t="s">
        <v>16</v>
      </c>
      <c r="G22" s="1" t="s">
        <v>26</v>
      </c>
      <c r="H22" s="1">
        <v>94034950345</v>
      </c>
      <c r="I22" s="1" t="s">
        <v>27</v>
      </c>
      <c r="J22" s="1" t="s">
        <v>25</v>
      </c>
      <c r="K22" s="1" t="s">
        <v>25</v>
      </c>
      <c r="L22" s="1" t="s">
        <v>19</v>
      </c>
      <c r="M22" s="1">
        <v>3000</v>
      </c>
      <c r="N22" s="1" t="s">
        <v>25</v>
      </c>
      <c r="O22" s="1" t="s">
        <v>25</v>
      </c>
      <c r="P22" s="15">
        <v>3000</v>
      </c>
      <c r="Q22" s="15"/>
      <c r="R22" s="23" t="str">
        <f>TEXT(B22,"mmmm")</f>
        <v>May</v>
      </c>
      <c r="U22" s="11"/>
      <c r="V22" s="11"/>
    </row>
    <row r="23" spans="1:37" x14ac:dyDescent="0.3">
      <c r="A23" s="1">
        <f>ROW()-1</f>
        <v>22</v>
      </c>
      <c r="B23" s="10">
        <v>45437.661041666666</v>
      </c>
      <c r="C23" s="1" t="s">
        <v>15</v>
      </c>
      <c r="D23" s="1" t="s">
        <v>21</v>
      </c>
      <c r="E23" s="1" t="s">
        <v>16</v>
      </c>
      <c r="F23" s="1" t="s">
        <v>16</v>
      </c>
      <c r="G23" s="1" t="s">
        <v>40</v>
      </c>
      <c r="H23" s="1">
        <v>9234234234</v>
      </c>
      <c r="I23" s="1" t="s">
        <v>22</v>
      </c>
      <c r="J23" s="1" t="s">
        <v>16</v>
      </c>
      <c r="K23" s="1" t="s">
        <v>23</v>
      </c>
      <c r="L23" s="1" t="s">
        <v>19</v>
      </c>
      <c r="M23" s="1">
        <v>1500</v>
      </c>
      <c r="N23" s="1" t="s">
        <v>16</v>
      </c>
      <c r="O23" s="1" t="s">
        <v>16</v>
      </c>
      <c r="P23" s="15">
        <v>1000</v>
      </c>
      <c r="Q23" s="15"/>
      <c r="R23" s="23" t="str">
        <f>TEXT(B23,"mmmm")</f>
        <v>May</v>
      </c>
      <c r="S23" s="9"/>
      <c r="U23" s="11"/>
      <c r="V23" s="11"/>
    </row>
    <row r="24" spans="1:37" x14ac:dyDescent="0.3">
      <c r="A24" s="1"/>
      <c r="B24" s="10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5"/>
      <c r="Q24" s="15"/>
      <c r="R24" s="23"/>
      <c r="S24" s="9"/>
      <c r="U24" s="11"/>
      <c r="V24" s="11"/>
    </row>
    <row r="25" spans="1:37" x14ac:dyDescent="0.3">
      <c r="A25" s="1"/>
      <c r="B25" s="8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5"/>
      <c r="Q25" s="15"/>
    </row>
    <row r="26" spans="1:37" x14ac:dyDescent="0.3">
      <c r="A26" s="1"/>
      <c r="B26" s="8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5"/>
      <c r="Q26" s="15"/>
    </row>
    <row r="1048572" spans="13:13" x14ac:dyDescent="0.3">
      <c r="M1048572">
        <f>SUM(M2:M1048571)</f>
        <v>14650</v>
      </c>
    </row>
  </sheetData>
  <sortState xmlns:xlrd2="http://schemas.microsoft.com/office/spreadsheetml/2017/richdata2" ref="A2:AK1048572">
    <sortCondition descending="1" ref="A2:A1048572"/>
  </sortState>
  <pageMargins left="0.7" right="0.7" top="0.75" bottom="0.75" header="0.3" footer="0.3"/>
  <pageSetup paperSize="256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28</xdr:col>
                    <xdr:colOff>320040</xdr:colOff>
                    <xdr:row>22</xdr:row>
                    <xdr:rowOff>45720</xdr:rowOff>
                  </from>
                  <to>
                    <xdr:col>30</xdr:col>
                    <xdr:colOff>167640</xdr:colOff>
                    <xdr:row>24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803E7-AB42-4E22-9159-8243780D8F99}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8DD18-D014-4D6D-9654-5814FD59D597}">
  <sheetPr codeName="Sheet7"/>
  <dimension ref="A1:AK1048573"/>
  <sheetViews>
    <sheetView workbookViewId="0">
      <selection sqref="A1:XFD1048576"/>
    </sheetView>
  </sheetViews>
  <sheetFormatPr defaultRowHeight="14.4" x14ac:dyDescent="0.3"/>
  <cols>
    <col min="2" max="2" width="30.33203125" style="9" customWidth="1"/>
    <col min="3" max="3" width="13.109375" customWidth="1"/>
    <col min="4" max="4" width="15.77734375" customWidth="1"/>
    <col min="5" max="5" width="14.77734375" customWidth="1"/>
    <col min="6" max="6" width="15" customWidth="1"/>
    <col min="7" max="7" width="20.21875" customWidth="1"/>
    <col min="8" max="8" width="15.33203125" customWidth="1"/>
    <col min="9" max="9" width="15.6640625" customWidth="1"/>
    <col min="10" max="10" width="16.33203125" customWidth="1"/>
    <col min="11" max="11" width="17.109375" customWidth="1"/>
    <col min="12" max="12" width="13.33203125" customWidth="1"/>
    <col min="13" max="13" width="15.6640625" customWidth="1"/>
    <col min="14" max="14" width="20.44140625" customWidth="1"/>
    <col min="15" max="15" width="14.33203125" customWidth="1"/>
    <col min="16" max="16" width="14.33203125" style="16" customWidth="1"/>
    <col min="17" max="17" width="14.77734375" style="16" customWidth="1"/>
    <col min="18" max="18" width="25.5546875" style="17" customWidth="1"/>
    <col min="19" max="19" width="25.44140625" bestFit="1" customWidth="1"/>
    <col min="22" max="22" width="12.6640625" customWidth="1"/>
    <col min="28" max="28" width="13.109375" customWidth="1"/>
    <col min="29" max="29" width="13.77734375" customWidth="1"/>
    <col min="30" max="30" width="11.21875" customWidth="1"/>
    <col min="35" max="35" width="12.44140625" customWidth="1"/>
    <col min="36" max="36" width="10.6640625" customWidth="1"/>
  </cols>
  <sheetData>
    <row r="1" spans="1:37" s="3" customFormat="1" x14ac:dyDescent="0.3">
      <c r="A1" s="2" t="s">
        <v>14</v>
      </c>
      <c r="B1" s="7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4" t="s">
        <v>69</v>
      </c>
      <c r="Q1" s="14" t="s">
        <v>66</v>
      </c>
      <c r="R1" s="18" t="s">
        <v>73</v>
      </c>
    </row>
    <row r="2" spans="1:37" x14ac:dyDescent="0.3">
      <c r="A2" s="1">
        <f>ROW()-1</f>
        <v>1</v>
      </c>
      <c r="B2" s="10">
        <v>45437.659675925926</v>
      </c>
      <c r="C2" s="1" t="s">
        <v>15</v>
      </c>
      <c r="D2" s="1" t="s">
        <v>20</v>
      </c>
      <c r="E2" s="1" t="s">
        <v>16</v>
      </c>
      <c r="F2" s="1" t="s">
        <v>16</v>
      </c>
      <c r="G2" s="1" t="s">
        <v>59</v>
      </c>
      <c r="H2" s="1">
        <v>923423441</v>
      </c>
      <c r="I2" s="1" t="s">
        <v>17</v>
      </c>
      <c r="J2" s="1" t="s">
        <v>16</v>
      </c>
      <c r="K2" s="1" t="s">
        <v>18</v>
      </c>
      <c r="L2" s="1" t="s">
        <v>28</v>
      </c>
      <c r="M2" s="1">
        <v>5000</v>
      </c>
      <c r="N2" s="1" t="s">
        <v>16</v>
      </c>
      <c r="O2" s="4">
        <v>45441</v>
      </c>
      <c r="P2" s="15" t="s">
        <v>70</v>
      </c>
      <c r="Q2" s="15">
        <v>5000</v>
      </c>
      <c r="R2" s="19" t="str">
        <f>TEXT(B2,"mmmm")</f>
        <v>May</v>
      </c>
    </row>
    <row r="3" spans="1:37" x14ac:dyDescent="0.3">
      <c r="A3" s="1">
        <f>ROW()-1</f>
        <v>2</v>
      </c>
      <c r="B3" s="10">
        <v>45437.661041666666</v>
      </c>
      <c r="C3" s="1" t="s">
        <v>15</v>
      </c>
      <c r="D3" s="1" t="s">
        <v>21</v>
      </c>
      <c r="E3" s="1" t="s">
        <v>16</v>
      </c>
      <c r="F3" s="1" t="s">
        <v>16</v>
      </c>
      <c r="G3" s="1" t="s">
        <v>40</v>
      </c>
      <c r="H3" s="1">
        <v>9234234234</v>
      </c>
      <c r="I3" s="1" t="s">
        <v>22</v>
      </c>
      <c r="J3" s="1" t="s">
        <v>16</v>
      </c>
      <c r="K3" s="1" t="s">
        <v>23</v>
      </c>
      <c r="L3" s="1" t="s">
        <v>19</v>
      </c>
      <c r="M3" s="1">
        <v>1500</v>
      </c>
      <c r="N3" s="1" t="s">
        <v>16</v>
      </c>
      <c r="O3" s="1" t="s">
        <v>16</v>
      </c>
      <c r="P3" s="15">
        <v>1000</v>
      </c>
      <c r="Q3" s="15"/>
      <c r="R3" s="19" t="str">
        <f>TEXT(B3,"mmmm")</f>
        <v>May</v>
      </c>
      <c r="S3" s="9"/>
      <c r="U3" s="11"/>
      <c r="V3" s="11"/>
    </row>
    <row r="4" spans="1:37" x14ac:dyDescent="0.3">
      <c r="A4" s="1">
        <f>ROW()-1</f>
        <v>3</v>
      </c>
      <c r="B4" s="10">
        <v>45441.641608796293</v>
      </c>
      <c r="C4" s="1" t="s">
        <v>24</v>
      </c>
      <c r="D4" s="1" t="s">
        <v>35</v>
      </c>
      <c r="E4" s="1" t="s">
        <v>16</v>
      </c>
      <c r="F4" s="1" t="s">
        <v>16</v>
      </c>
      <c r="G4" s="1" t="s">
        <v>26</v>
      </c>
      <c r="H4" s="1">
        <v>94034950345</v>
      </c>
      <c r="I4" s="1" t="s">
        <v>27</v>
      </c>
      <c r="J4" s="1" t="s">
        <v>25</v>
      </c>
      <c r="K4" s="1" t="s">
        <v>25</v>
      </c>
      <c r="L4" s="1" t="s">
        <v>19</v>
      </c>
      <c r="M4" s="1">
        <v>3000</v>
      </c>
      <c r="N4" s="1" t="s">
        <v>25</v>
      </c>
      <c r="O4" s="1" t="s">
        <v>25</v>
      </c>
      <c r="P4" s="15">
        <v>3000</v>
      </c>
      <c r="Q4" s="15"/>
      <c r="R4" s="19" t="str">
        <f>TEXT(B4,"mmmm")</f>
        <v>May</v>
      </c>
      <c r="U4" s="11"/>
      <c r="V4" s="11"/>
    </row>
    <row r="5" spans="1:37" x14ac:dyDescent="0.3">
      <c r="A5" s="1">
        <f>ROW()-1</f>
        <v>4</v>
      </c>
      <c r="B5" s="10">
        <v>45442.611539351848</v>
      </c>
      <c r="C5" s="1" t="s">
        <v>15</v>
      </c>
      <c r="D5" s="1" t="s">
        <v>31</v>
      </c>
      <c r="E5" s="1" t="s">
        <v>32</v>
      </c>
      <c r="F5" s="1" t="s">
        <v>33</v>
      </c>
      <c r="G5" s="1" t="s">
        <v>30</v>
      </c>
      <c r="H5" s="1">
        <v>9606447146</v>
      </c>
      <c r="I5" s="1" t="s">
        <v>34</v>
      </c>
      <c r="J5" s="1" t="s">
        <v>16</v>
      </c>
      <c r="K5" s="1" t="s">
        <v>16</v>
      </c>
      <c r="L5" s="1" t="s">
        <v>28</v>
      </c>
      <c r="M5" s="1">
        <v>850</v>
      </c>
      <c r="N5" s="1">
        <v>2950</v>
      </c>
      <c r="O5" s="1" t="s">
        <v>16</v>
      </c>
      <c r="P5" s="15"/>
      <c r="Q5" s="15">
        <v>850</v>
      </c>
      <c r="R5" s="19" t="str">
        <f>TEXT(B5,"mmmm")</f>
        <v>May</v>
      </c>
      <c r="U5" s="11"/>
      <c r="V5" s="11"/>
      <c r="AA5" t="s">
        <v>87</v>
      </c>
    </row>
    <row r="6" spans="1:37" x14ac:dyDescent="0.3">
      <c r="A6" s="1">
        <f>ROW()-1</f>
        <v>5</v>
      </c>
      <c r="B6" s="10">
        <v>45442.655775462961</v>
      </c>
      <c r="C6" s="1" t="s">
        <v>15</v>
      </c>
      <c r="D6" s="1" t="s">
        <v>37</v>
      </c>
      <c r="E6" s="1" t="s">
        <v>16</v>
      </c>
      <c r="F6" s="1" t="s">
        <v>16</v>
      </c>
      <c r="G6" s="1" t="s">
        <v>36</v>
      </c>
      <c r="H6" s="1">
        <v>757567567</v>
      </c>
      <c r="I6" s="1" t="s">
        <v>38</v>
      </c>
      <c r="J6" s="1" t="s">
        <v>29</v>
      </c>
      <c r="K6" s="1" t="s">
        <v>39</v>
      </c>
      <c r="L6" s="1" t="s">
        <v>28</v>
      </c>
      <c r="M6" s="1">
        <v>250</v>
      </c>
      <c r="N6" s="1" t="s">
        <v>29</v>
      </c>
      <c r="O6" s="5">
        <v>45416</v>
      </c>
      <c r="P6" s="15"/>
      <c r="Q6" s="15">
        <v>450</v>
      </c>
      <c r="R6" s="19" t="str">
        <f>TEXT(B6,"mmmm")</f>
        <v>May</v>
      </c>
      <c r="U6" s="11"/>
      <c r="V6" s="11"/>
      <c r="W6" t="s">
        <v>81</v>
      </c>
      <c r="X6" t="s">
        <v>82</v>
      </c>
      <c r="AB6" s="1" t="s">
        <v>1</v>
      </c>
      <c r="AC6" s="12" t="s">
        <v>69</v>
      </c>
      <c r="AD6" s="12" t="s">
        <v>66</v>
      </c>
      <c r="AI6" s="1" t="s">
        <v>71</v>
      </c>
      <c r="AJ6" s="1" t="s">
        <v>19</v>
      </c>
      <c r="AK6" t="s">
        <v>28</v>
      </c>
    </row>
    <row r="7" spans="1:37" x14ac:dyDescent="0.3">
      <c r="A7" s="1">
        <f>ROW()-1</f>
        <v>6</v>
      </c>
      <c r="B7" s="10">
        <v>45442.663310185184</v>
      </c>
      <c r="C7" s="1" t="s">
        <v>42</v>
      </c>
      <c r="D7" s="1" t="s">
        <v>43</v>
      </c>
      <c r="E7" s="1" t="s">
        <v>44</v>
      </c>
      <c r="F7" s="1" t="s">
        <v>16</v>
      </c>
      <c r="G7" s="1" t="s">
        <v>41</v>
      </c>
      <c r="H7" s="1">
        <v>9760125378</v>
      </c>
      <c r="I7" s="1" t="s">
        <v>45</v>
      </c>
      <c r="J7" s="1" t="s">
        <v>46</v>
      </c>
      <c r="K7" s="1" t="s">
        <v>16</v>
      </c>
      <c r="L7" s="1" t="s">
        <v>28</v>
      </c>
      <c r="M7" s="1">
        <v>1500</v>
      </c>
      <c r="N7" s="1" t="s">
        <v>16</v>
      </c>
      <c r="O7" s="5">
        <v>45422</v>
      </c>
      <c r="P7" s="15"/>
      <c r="Q7" s="15">
        <v>1500</v>
      </c>
      <c r="R7" s="19" t="str">
        <f>TEXT(B7,"mmmm")</f>
        <v>May</v>
      </c>
      <c r="U7" s="11"/>
      <c r="V7" s="11"/>
      <c r="W7" t="s">
        <v>80</v>
      </c>
      <c r="X7">
        <f>COUNTIFS($C:$C,"Laptop",$L:$L,"On-going",$R:$R,"May")</f>
        <v>1</v>
      </c>
      <c r="AB7" s="12" t="s">
        <v>15</v>
      </c>
      <c r="AC7" s="13"/>
      <c r="AD7" s="13">
        <f>SUMIFS(Q2:Q11,C2:C11,AB7,R2:R11,AA5)</f>
        <v>7800</v>
      </c>
      <c r="AI7" s="1" t="s">
        <v>15</v>
      </c>
      <c r="AJ7" s="1">
        <f>COUNTIFS($C:$C,$AI7,$L:$L,AJ6)</f>
        <v>1</v>
      </c>
      <c r="AK7">
        <f>COUNTIFS($C:$C,$AI7,$L:$L,AK6)</f>
        <v>8</v>
      </c>
    </row>
    <row r="8" spans="1:37" x14ac:dyDescent="0.3">
      <c r="A8" s="1">
        <f>ROW()-1</f>
        <v>7</v>
      </c>
      <c r="B8" s="10">
        <v>45442.68986111111</v>
      </c>
      <c r="C8" s="1" t="s">
        <v>15</v>
      </c>
      <c r="D8" s="1" t="s">
        <v>48</v>
      </c>
      <c r="E8" s="1" t="s">
        <v>49</v>
      </c>
      <c r="F8" s="1" t="s">
        <v>50</v>
      </c>
      <c r="G8" s="1" t="s">
        <v>47</v>
      </c>
      <c r="H8" s="1">
        <v>9124522194</v>
      </c>
      <c r="I8" s="1" t="s">
        <v>51</v>
      </c>
      <c r="J8" s="1" t="s">
        <v>52</v>
      </c>
      <c r="K8" s="1" t="s">
        <v>16</v>
      </c>
      <c r="L8" s="1" t="s">
        <v>28</v>
      </c>
      <c r="M8" s="6">
        <v>1500</v>
      </c>
      <c r="N8" s="1" t="s">
        <v>16</v>
      </c>
      <c r="O8" s="1" t="s">
        <v>16</v>
      </c>
      <c r="P8" s="15"/>
      <c r="Q8" s="15">
        <v>1500</v>
      </c>
      <c r="R8" s="19" t="str">
        <f>TEXT(B8,"mmmm")</f>
        <v>May</v>
      </c>
      <c r="U8" s="11"/>
      <c r="V8" s="11"/>
      <c r="AB8" s="12" t="s">
        <v>24</v>
      </c>
      <c r="AC8" s="13">
        <f>SUMIF(C2:C10,AB8, P2:P10)</f>
        <v>3000</v>
      </c>
      <c r="AD8" s="13">
        <f>SUMIF($C:$C,AB8, $Q:$Q)</f>
        <v>1700</v>
      </c>
      <c r="AI8" s="1" t="s">
        <v>24</v>
      </c>
      <c r="AJ8" s="1">
        <f>COUNTIFS($C:$C,$AI8,$L:$L,AJ6)</f>
        <v>1</v>
      </c>
      <c r="AK8">
        <f>COUNTIFS($C:$C,$AI8,$L:$L,AK6)</f>
        <v>3</v>
      </c>
    </row>
    <row r="9" spans="1:37" x14ac:dyDescent="0.3">
      <c r="A9" s="1">
        <f>ROW()-1</f>
        <v>8</v>
      </c>
      <c r="B9" s="10">
        <v>45442.727662037039</v>
      </c>
      <c r="C9" s="1" t="s">
        <v>24</v>
      </c>
      <c r="D9" s="1" t="s">
        <v>54</v>
      </c>
      <c r="E9" s="1" t="s">
        <v>16</v>
      </c>
      <c r="F9" s="1" t="s">
        <v>55</v>
      </c>
      <c r="G9" s="1" t="s">
        <v>53</v>
      </c>
      <c r="H9" s="1">
        <v>9755224219</v>
      </c>
      <c r="I9" s="1" t="s">
        <v>56</v>
      </c>
      <c r="J9" s="1" t="s">
        <v>57</v>
      </c>
      <c r="K9" s="1" t="s">
        <v>58</v>
      </c>
      <c r="L9" s="1" t="s">
        <v>28</v>
      </c>
      <c r="M9" s="1">
        <v>650</v>
      </c>
      <c r="N9" s="1" t="s">
        <v>16</v>
      </c>
      <c r="O9" s="5">
        <v>45423</v>
      </c>
      <c r="P9" s="15"/>
      <c r="Q9" s="15">
        <v>650</v>
      </c>
      <c r="R9" s="19" t="str">
        <f>TEXT(B9,"mmmm")</f>
        <v>May</v>
      </c>
      <c r="U9" s="11"/>
      <c r="V9" s="11"/>
      <c r="AB9" s="12" t="s">
        <v>42</v>
      </c>
      <c r="AC9" s="13">
        <f>SUMIF(C2:C10,AB9, P2:P10)</f>
        <v>0</v>
      </c>
      <c r="AD9" s="13">
        <f>SUMIF(C2:C10,AB9, Q2:Q10)</f>
        <v>1500</v>
      </c>
      <c r="AI9" s="1" t="s">
        <v>42</v>
      </c>
      <c r="AJ9" s="1">
        <f>COUNTIFS($C:$C,$AI9,$L:$L,AJ6)</f>
        <v>0</v>
      </c>
      <c r="AK9">
        <f>COUNTIFS($C:$C,$AI9,$L:$L,AK6)</f>
        <v>2</v>
      </c>
    </row>
    <row r="10" spans="1:37" x14ac:dyDescent="0.3">
      <c r="A10" s="1">
        <f>ROW()-1</f>
        <v>9</v>
      </c>
      <c r="B10" s="10">
        <v>45444</v>
      </c>
      <c r="C10" s="1" t="s">
        <v>24</v>
      </c>
      <c r="D10" s="1" t="s">
        <v>54</v>
      </c>
      <c r="E10" s="1" t="s">
        <v>61</v>
      </c>
      <c r="F10" s="1" t="s">
        <v>62</v>
      </c>
      <c r="G10" s="1" t="s">
        <v>60</v>
      </c>
      <c r="H10" s="1">
        <v>9651022138</v>
      </c>
      <c r="I10" s="1" t="s">
        <v>63</v>
      </c>
      <c r="J10" s="1" t="s">
        <v>16</v>
      </c>
      <c r="K10" s="1" t="s">
        <v>64</v>
      </c>
      <c r="L10" s="1" t="s">
        <v>28</v>
      </c>
      <c r="M10" s="1">
        <v>350</v>
      </c>
      <c r="N10" s="1" t="s">
        <v>16</v>
      </c>
      <c r="O10" s="1" t="s">
        <v>65</v>
      </c>
      <c r="P10" s="15"/>
      <c r="Q10" s="15">
        <v>350</v>
      </c>
      <c r="R10" s="19" t="str">
        <f>TEXT(B10,"mmmm")</f>
        <v>June</v>
      </c>
      <c r="U10" s="11"/>
      <c r="V10" s="11"/>
      <c r="AB10" s="12" t="s">
        <v>67</v>
      </c>
      <c r="AC10" s="13">
        <f>SUMIF(C2:C10,AB10, P2:P10)</f>
        <v>0</v>
      </c>
      <c r="AD10" s="13">
        <f>SUMIF(C2:C10,AB10, Q2:Q10)</f>
        <v>0</v>
      </c>
      <c r="AI10" s="1" t="s">
        <v>68</v>
      </c>
      <c r="AJ10" s="1">
        <f>COUNTIFS($C:$C,$AI10,$L:$L,AJ6)</f>
        <v>1</v>
      </c>
      <c r="AK10">
        <f>COUNTIFS($C:$C,$AI10,$L:$L,AK6)</f>
        <v>5</v>
      </c>
    </row>
    <row r="11" spans="1:37" x14ac:dyDescent="0.3">
      <c r="A11" s="1">
        <f>ROW()-1</f>
        <v>10</v>
      </c>
      <c r="B11" s="8">
        <v>45448</v>
      </c>
      <c r="C11" s="1" t="s">
        <v>68</v>
      </c>
      <c r="D11" s="1" t="s">
        <v>75</v>
      </c>
      <c r="E11" s="1" t="s">
        <v>76</v>
      </c>
      <c r="F11" s="1" t="s">
        <v>16</v>
      </c>
      <c r="G11" s="1" t="s">
        <v>74</v>
      </c>
      <c r="H11" s="1">
        <v>9262358281</v>
      </c>
      <c r="I11" s="1" t="s">
        <v>77</v>
      </c>
      <c r="J11" s="1" t="s">
        <v>78</v>
      </c>
      <c r="K11" s="1" t="s">
        <v>16</v>
      </c>
      <c r="L11" s="1" t="s">
        <v>28</v>
      </c>
      <c r="M11" s="1"/>
      <c r="N11" s="1"/>
      <c r="O11" s="5">
        <v>45448</v>
      </c>
      <c r="P11" s="15"/>
      <c r="Q11" s="15">
        <v>450</v>
      </c>
      <c r="R11" s="19" t="str">
        <f>TEXT(B11,"mmmm")</f>
        <v>June</v>
      </c>
      <c r="U11" s="11"/>
      <c r="V11" s="11"/>
    </row>
    <row r="12" spans="1:37" x14ac:dyDescent="0.3">
      <c r="A12" s="1">
        <f>ROW()-1</f>
        <v>11</v>
      </c>
      <c r="B12" s="8">
        <v>45454</v>
      </c>
      <c r="C12" s="1" t="s">
        <v>15</v>
      </c>
      <c r="D12" s="1" t="s">
        <v>99</v>
      </c>
      <c r="E12" s="1" t="s">
        <v>100</v>
      </c>
      <c r="F12" s="1" t="s">
        <v>101</v>
      </c>
      <c r="G12" s="1" t="s">
        <v>98</v>
      </c>
      <c r="H12" s="1">
        <v>0</v>
      </c>
      <c r="I12" s="1" t="s">
        <v>102</v>
      </c>
      <c r="J12" s="1" t="s">
        <v>16</v>
      </c>
      <c r="K12" s="1" t="s">
        <v>103</v>
      </c>
      <c r="L12" s="1" t="s">
        <v>28</v>
      </c>
      <c r="M12" s="1">
        <v>250</v>
      </c>
      <c r="N12" s="1" t="s">
        <v>16</v>
      </c>
      <c r="O12" s="5">
        <v>45449</v>
      </c>
      <c r="P12" s="15"/>
      <c r="Q12" s="15">
        <v>250</v>
      </c>
      <c r="R12" s="19" t="s">
        <v>79</v>
      </c>
    </row>
    <row r="13" spans="1:37" x14ac:dyDescent="0.3">
      <c r="A13" s="1">
        <f>ROW()-1</f>
        <v>12</v>
      </c>
      <c r="B13" s="8">
        <v>45454</v>
      </c>
      <c r="C13" s="1" t="s">
        <v>15</v>
      </c>
      <c r="D13" s="1" t="s">
        <v>105</v>
      </c>
      <c r="E13" s="1" t="s">
        <v>106</v>
      </c>
      <c r="F13" s="1" t="s">
        <v>107</v>
      </c>
      <c r="G13" s="1" t="s">
        <v>104</v>
      </c>
      <c r="H13" s="1">
        <v>959269189</v>
      </c>
      <c r="I13" s="1" t="s">
        <v>108</v>
      </c>
      <c r="J13" s="1" t="s">
        <v>16</v>
      </c>
      <c r="K13" s="1" t="s">
        <v>108</v>
      </c>
      <c r="L13" s="1" t="s">
        <v>28</v>
      </c>
      <c r="M13" s="1">
        <v>350</v>
      </c>
      <c r="N13" s="1" t="s">
        <v>16</v>
      </c>
      <c r="O13" s="5">
        <v>45447</v>
      </c>
      <c r="P13" s="15"/>
      <c r="Q13" s="15">
        <v>350</v>
      </c>
      <c r="R13" s="19" t="s">
        <v>79</v>
      </c>
    </row>
    <row r="14" spans="1:37" x14ac:dyDescent="0.3">
      <c r="A14" s="1">
        <f>ROW()-1</f>
        <v>13</v>
      </c>
      <c r="B14" s="8">
        <v>45454</v>
      </c>
      <c r="C14" s="1" t="s">
        <v>15</v>
      </c>
      <c r="D14" s="1" t="s">
        <v>110</v>
      </c>
      <c r="E14" s="1" t="s">
        <v>111</v>
      </c>
      <c r="F14" s="1" t="s">
        <v>25</v>
      </c>
      <c r="G14" s="1" t="s">
        <v>109</v>
      </c>
      <c r="H14" s="1">
        <v>9551060600</v>
      </c>
      <c r="I14" s="1" t="s">
        <v>112</v>
      </c>
      <c r="J14" s="1" t="s">
        <v>16</v>
      </c>
      <c r="K14" s="1" t="s">
        <v>113</v>
      </c>
      <c r="L14" s="1" t="s">
        <v>28</v>
      </c>
      <c r="M14" s="1">
        <v>450</v>
      </c>
      <c r="N14" s="1" t="s">
        <v>16</v>
      </c>
      <c r="O14" s="5">
        <v>45450</v>
      </c>
      <c r="P14" s="15"/>
      <c r="Q14" s="15">
        <v>450</v>
      </c>
      <c r="R14" s="19" t="s">
        <v>79</v>
      </c>
    </row>
    <row r="15" spans="1:37" x14ac:dyDescent="0.3">
      <c r="A15" s="1">
        <f>ROW()-1</f>
        <v>14</v>
      </c>
      <c r="B15" s="8">
        <v>45454</v>
      </c>
      <c r="C15" s="1" t="s">
        <v>15</v>
      </c>
      <c r="D15" s="1" t="s">
        <v>115</v>
      </c>
      <c r="E15" s="1" t="s">
        <v>116</v>
      </c>
      <c r="F15" s="1" t="s">
        <v>117</v>
      </c>
      <c r="G15" s="1" t="s">
        <v>114</v>
      </c>
      <c r="H15" s="1">
        <v>9555100179</v>
      </c>
      <c r="I15" s="1" t="s">
        <v>118</v>
      </c>
      <c r="J15" s="1" t="s">
        <v>25</v>
      </c>
      <c r="K15" s="1" t="s">
        <v>119</v>
      </c>
      <c r="L15" s="1" t="s">
        <v>28</v>
      </c>
      <c r="M15" s="1">
        <v>500</v>
      </c>
      <c r="N15" s="1" t="s">
        <v>16</v>
      </c>
      <c r="O15" s="5">
        <v>45453</v>
      </c>
      <c r="P15" s="15"/>
      <c r="Q15" s="15">
        <v>500</v>
      </c>
      <c r="R15" s="19" t="s">
        <v>79</v>
      </c>
    </row>
    <row r="16" spans="1:37" x14ac:dyDescent="0.3">
      <c r="A16" s="1">
        <f>ROW()-1</f>
        <v>15</v>
      </c>
      <c r="B16" s="8">
        <v>45454</v>
      </c>
      <c r="C16" s="1" t="s">
        <v>24</v>
      </c>
      <c r="D16" s="1" t="s">
        <v>121</v>
      </c>
      <c r="E16" s="1" t="s">
        <v>122</v>
      </c>
      <c r="F16" s="1" t="s">
        <v>123</v>
      </c>
      <c r="G16" s="1" t="s">
        <v>120</v>
      </c>
      <c r="H16" s="1">
        <v>9364469407</v>
      </c>
      <c r="I16" s="1" t="s">
        <v>124</v>
      </c>
      <c r="J16" s="1" t="s">
        <v>16</v>
      </c>
      <c r="K16" s="1" t="s">
        <v>125</v>
      </c>
      <c r="L16" s="1" t="s">
        <v>28</v>
      </c>
      <c r="M16" s="1">
        <v>700</v>
      </c>
      <c r="N16" s="1">
        <v>600</v>
      </c>
      <c r="O16" s="1" t="s">
        <v>126</v>
      </c>
      <c r="P16" s="15"/>
      <c r="Q16" s="15">
        <v>700</v>
      </c>
      <c r="R16" s="19" t="s">
        <v>79</v>
      </c>
    </row>
    <row r="17" spans="1:18" x14ac:dyDescent="0.3">
      <c r="A17" s="1">
        <f>ROW()-1</f>
        <v>16</v>
      </c>
      <c r="B17" s="8">
        <v>45454</v>
      </c>
      <c r="C17" s="1" t="s">
        <v>68</v>
      </c>
      <c r="D17" s="1" t="s">
        <v>128</v>
      </c>
      <c r="E17" s="1" t="s">
        <v>129</v>
      </c>
      <c r="F17" s="1" t="s">
        <v>16</v>
      </c>
      <c r="G17" s="1" t="s">
        <v>127</v>
      </c>
      <c r="H17" s="1">
        <v>9850106607</v>
      </c>
      <c r="I17" s="1" t="s">
        <v>130</v>
      </c>
      <c r="J17" s="1" t="s">
        <v>16</v>
      </c>
      <c r="K17" s="1" t="s">
        <v>131</v>
      </c>
      <c r="L17" s="1" t="s">
        <v>28</v>
      </c>
      <c r="M17" s="1"/>
      <c r="N17" s="1">
        <v>850</v>
      </c>
      <c r="O17" s="5">
        <v>45449</v>
      </c>
      <c r="P17" s="15"/>
      <c r="Q17" s="15">
        <v>850</v>
      </c>
      <c r="R17" s="24" t="s">
        <v>79</v>
      </c>
    </row>
    <row r="18" spans="1:18" x14ac:dyDescent="0.3">
      <c r="A18" s="1">
        <f>ROW()-1</f>
        <v>17</v>
      </c>
      <c r="B18" s="8">
        <v>45454</v>
      </c>
      <c r="C18" s="1" t="s">
        <v>68</v>
      </c>
      <c r="D18" s="1" t="s">
        <v>133</v>
      </c>
      <c r="E18" s="1" t="s">
        <v>134</v>
      </c>
      <c r="F18" s="1" t="s">
        <v>16</v>
      </c>
      <c r="G18" s="1" t="s">
        <v>132</v>
      </c>
      <c r="H18" s="1">
        <v>9552945117</v>
      </c>
      <c r="I18" s="1" t="s">
        <v>135</v>
      </c>
      <c r="J18" s="1" t="s">
        <v>25</v>
      </c>
      <c r="K18" s="1" t="s">
        <v>119</v>
      </c>
      <c r="L18" s="1" t="s">
        <v>28</v>
      </c>
      <c r="M18" s="1">
        <v>250</v>
      </c>
      <c r="N18" s="1" t="s">
        <v>16</v>
      </c>
      <c r="O18" s="5">
        <v>45449</v>
      </c>
      <c r="P18" s="15"/>
      <c r="Q18" s="15">
        <v>250</v>
      </c>
      <c r="R18" s="24" t="s">
        <v>79</v>
      </c>
    </row>
    <row r="19" spans="1:18" x14ac:dyDescent="0.3">
      <c r="A19" s="1">
        <f>ROW()-1</f>
        <v>18</v>
      </c>
      <c r="B19" s="8">
        <v>45454</v>
      </c>
      <c r="C19" s="1" t="s">
        <v>68</v>
      </c>
      <c r="D19" s="1" t="s">
        <v>75</v>
      </c>
      <c r="E19" s="1" t="s">
        <v>136</v>
      </c>
      <c r="F19" s="1" t="s">
        <v>16</v>
      </c>
      <c r="G19" s="1" t="s">
        <v>41</v>
      </c>
      <c r="H19" s="1">
        <v>9760125378</v>
      </c>
      <c r="I19" s="1" t="s">
        <v>137</v>
      </c>
      <c r="J19" s="1" t="s">
        <v>16</v>
      </c>
      <c r="K19" s="1" t="s">
        <v>138</v>
      </c>
      <c r="L19" s="1" t="s">
        <v>28</v>
      </c>
      <c r="M19" s="1">
        <v>450</v>
      </c>
      <c r="N19" s="1" t="s">
        <v>16</v>
      </c>
      <c r="O19" s="5">
        <v>45450</v>
      </c>
      <c r="P19" s="15"/>
      <c r="Q19" s="15">
        <v>450</v>
      </c>
      <c r="R19" s="17" t="s">
        <v>79</v>
      </c>
    </row>
    <row r="20" spans="1:18" x14ac:dyDescent="0.3">
      <c r="A20" s="1">
        <f>ROW()-1</f>
        <v>19</v>
      </c>
      <c r="B20" s="8">
        <v>45454</v>
      </c>
      <c r="C20" s="1" t="s">
        <v>68</v>
      </c>
      <c r="D20" s="1" t="s">
        <v>139</v>
      </c>
      <c r="E20" s="1" t="s">
        <v>140</v>
      </c>
      <c r="F20" s="1" t="s">
        <v>16</v>
      </c>
      <c r="G20" s="1" t="s">
        <v>29</v>
      </c>
      <c r="H20" s="1" t="s">
        <v>29</v>
      </c>
      <c r="I20" s="1" t="s">
        <v>141</v>
      </c>
      <c r="J20" s="1" t="s">
        <v>25</v>
      </c>
      <c r="K20" s="1" t="s">
        <v>142</v>
      </c>
      <c r="L20" s="1" t="s">
        <v>28</v>
      </c>
      <c r="M20" s="1">
        <v>500</v>
      </c>
      <c r="N20" s="1" t="s">
        <v>16</v>
      </c>
      <c r="O20" s="5">
        <v>45453</v>
      </c>
      <c r="P20" s="15"/>
      <c r="Q20" s="15">
        <v>500</v>
      </c>
      <c r="R20" s="17" t="s">
        <v>79</v>
      </c>
    </row>
    <row r="21" spans="1:18" x14ac:dyDescent="0.3">
      <c r="A21" s="1">
        <f>ROW()-1</f>
        <v>20</v>
      </c>
      <c r="B21" s="8">
        <v>45454</v>
      </c>
      <c r="C21" s="1" t="s">
        <v>68</v>
      </c>
      <c r="D21" s="1" t="s">
        <v>75</v>
      </c>
      <c r="E21" s="1" t="s">
        <v>136</v>
      </c>
      <c r="F21" s="1" t="s">
        <v>16</v>
      </c>
      <c r="G21" s="1" t="s">
        <v>41</v>
      </c>
      <c r="H21" s="1">
        <v>9760125378</v>
      </c>
      <c r="I21" s="1" t="s">
        <v>143</v>
      </c>
      <c r="J21" s="1" t="s">
        <v>25</v>
      </c>
      <c r="K21" s="1" t="s">
        <v>144</v>
      </c>
      <c r="L21" s="1" t="s">
        <v>19</v>
      </c>
      <c r="M21" s="1">
        <v>650</v>
      </c>
      <c r="N21" s="1"/>
      <c r="O21" s="1" t="s">
        <v>16</v>
      </c>
      <c r="P21" s="15">
        <v>650</v>
      </c>
      <c r="Q21" s="15"/>
      <c r="R21" s="17" t="s">
        <v>79</v>
      </c>
    </row>
    <row r="22" spans="1:18" x14ac:dyDescent="0.3">
      <c r="A22" s="1">
        <f>ROW()-1</f>
        <v>21</v>
      </c>
      <c r="B22" s="8">
        <v>45454</v>
      </c>
      <c r="C22" s="1" t="s">
        <v>42</v>
      </c>
      <c r="D22" s="1" t="s">
        <v>147</v>
      </c>
      <c r="E22" s="1" t="s">
        <v>148</v>
      </c>
      <c r="F22" s="1" t="s">
        <v>16</v>
      </c>
      <c r="G22" s="1" t="s">
        <v>145</v>
      </c>
      <c r="H22" s="1" t="s">
        <v>146</v>
      </c>
      <c r="I22" s="1" t="s">
        <v>149</v>
      </c>
      <c r="J22" s="1" t="s">
        <v>25</v>
      </c>
      <c r="K22" s="1" t="s">
        <v>150</v>
      </c>
      <c r="L22" s="1" t="s">
        <v>28</v>
      </c>
      <c r="M22" s="1">
        <v>450</v>
      </c>
      <c r="N22" s="1">
        <v>250</v>
      </c>
      <c r="O22" s="5">
        <v>45451</v>
      </c>
      <c r="P22" s="15" t="s">
        <v>70</v>
      </c>
      <c r="Q22" s="15">
        <v>450</v>
      </c>
      <c r="R22" s="17" t="s">
        <v>79</v>
      </c>
    </row>
    <row r="23" spans="1:18" x14ac:dyDescent="0.3">
      <c r="A23" s="1">
        <f>ROW()-1</f>
        <v>22</v>
      </c>
      <c r="B23" s="8">
        <v>45454</v>
      </c>
      <c r="C23" s="1" t="s">
        <v>72</v>
      </c>
      <c r="D23" s="1" t="s">
        <v>152</v>
      </c>
      <c r="E23" s="1" t="s">
        <v>16</v>
      </c>
      <c r="F23" s="1" t="s">
        <v>16</v>
      </c>
      <c r="G23" s="1" t="s">
        <v>151</v>
      </c>
      <c r="H23" s="1">
        <v>9675844941</v>
      </c>
      <c r="I23" s="1" t="s">
        <v>153</v>
      </c>
      <c r="J23" s="1" t="s">
        <v>25</v>
      </c>
      <c r="K23" s="1" t="s">
        <v>154</v>
      </c>
      <c r="L23" s="1" t="s">
        <v>28</v>
      </c>
      <c r="M23" s="1">
        <v>250</v>
      </c>
      <c r="N23" s="1"/>
      <c r="O23" s="5">
        <v>45449</v>
      </c>
      <c r="P23" s="15"/>
      <c r="Q23" s="15">
        <v>250</v>
      </c>
      <c r="R23" s="17" t="s">
        <v>79</v>
      </c>
    </row>
    <row r="24" spans="1:18" x14ac:dyDescent="0.3">
      <c r="A24" s="1">
        <f>ROW()-1</f>
        <v>23</v>
      </c>
      <c r="B24" s="8">
        <v>45454</v>
      </c>
      <c r="C24" s="1" t="s">
        <v>72</v>
      </c>
      <c r="D24" s="1" t="s">
        <v>155</v>
      </c>
      <c r="E24" s="1" t="s">
        <v>16</v>
      </c>
      <c r="F24" s="1" t="s">
        <v>16</v>
      </c>
      <c r="G24" s="1" t="s">
        <v>29</v>
      </c>
      <c r="H24" s="1" t="s">
        <v>29</v>
      </c>
      <c r="I24" s="1" t="s">
        <v>16</v>
      </c>
      <c r="J24" s="1" t="s">
        <v>16</v>
      </c>
      <c r="K24" s="1" t="s">
        <v>16</v>
      </c>
      <c r="L24" s="1" t="s">
        <v>28</v>
      </c>
      <c r="M24" s="1">
        <v>250</v>
      </c>
      <c r="N24" s="1"/>
      <c r="O24" s="5">
        <v>45450</v>
      </c>
      <c r="P24" s="15"/>
      <c r="Q24" s="15">
        <v>250</v>
      </c>
      <c r="R24" s="17" t="s">
        <v>79</v>
      </c>
    </row>
    <row r="25" spans="1:18" x14ac:dyDescent="0.3">
      <c r="A25" s="1"/>
      <c r="B25" s="8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5"/>
      <c r="Q25" s="15"/>
    </row>
    <row r="26" spans="1:18" x14ac:dyDescent="0.3">
      <c r="A26" s="1"/>
      <c r="B26" s="8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5"/>
      <c r="Q26" s="15"/>
    </row>
    <row r="27" spans="1:18" x14ac:dyDescent="0.3">
      <c r="A27" s="1"/>
      <c r="B27" s="8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5"/>
      <c r="Q27" s="15"/>
    </row>
    <row r="1048573" spans="13:13" x14ac:dyDescent="0.3">
      <c r="M1048573">
        <f>SUM(M2:M1048572)</f>
        <v>19650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Drop Down 1">
              <controlPr defaultSize="0" autoLine="0" autoPict="0">
                <anchor moveWithCells="1">
                  <from>
                    <xdr:col>28</xdr:col>
                    <xdr:colOff>320040</xdr:colOff>
                    <xdr:row>2</xdr:row>
                    <xdr:rowOff>45720</xdr:rowOff>
                  </from>
                  <to>
                    <xdr:col>30</xdr:col>
                    <xdr:colOff>167640</xdr:colOff>
                    <xdr:row>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5FE24-874E-49F5-9C52-F28704EA3B55}">
  <sheetPr codeName="Sheet2"/>
  <dimension ref="A1:G16"/>
  <sheetViews>
    <sheetView workbookViewId="0">
      <selection activeCell="D7" sqref="D7"/>
    </sheetView>
  </sheetViews>
  <sheetFormatPr defaultRowHeight="14.4" x14ac:dyDescent="0.3"/>
  <cols>
    <col min="1" max="1" width="12.33203125" customWidth="1"/>
    <col min="2" max="2" width="25.109375" customWidth="1"/>
    <col min="3" max="3" width="21.109375" customWidth="1"/>
    <col min="6" max="6" width="12.6640625" customWidth="1"/>
  </cols>
  <sheetData>
    <row r="1" spans="1:7" x14ac:dyDescent="0.3">
      <c r="B1" t="s">
        <v>15</v>
      </c>
    </row>
    <row r="3" spans="1:7" x14ac:dyDescent="0.3">
      <c r="A3" s="21" t="s">
        <v>94</v>
      </c>
      <c r="B3" s="21" t="s">
        <v>69</v>
      </c>
      <c r="C3" s="21" t="s">
        <v>66</v>
      </c>
      <c r="F3" s="21" t="s">
        <v>82</v>
      </c>
      <c r="G3" s="21" t="s">
        <v>97</v>
      </c>
    </row>
    <row r="4" spans="1:7" x14ac:dyDescent="0.3">
      <c r="A4" t="s">
        <v>83</v>
      </c>
      <c r="B4">
        <f>SUMIFS(LABTECH_SERVICE_RECORD_DATABASE!P:P,LABTECH_SERVICE_RECORD_DATABASE!C:C,LAPTOP!B1,LABTECH_SERVICE_RECORD_DATABASE!R:R,LAPTOP!A4)</f>
        <v>0</v>
      </c>
      <c r="C4">
        <f>SUMIFS(LABTECH_SERVICE_RECORD_DATABASE!Q:Q,LABTECH_SERVICE_RECORD_DATABASE!C:C,LAPTOP!B1,LABTECH_SERVICE_RECORD_DATABASE!R:R,LAPTOP!A4)</f>
        <v>0</v>
      </c>
      <c r="F4">
        <f>COUNTIFS(LABTECH_SERVICE_RECORD_DATABASE!L:L,"On-going",LABTECH_SERVICE_RECORD_DATABASE!C:C,LAPTOP!B1,LABTECH_SERVICE_RECORD_DATABASE!R:R,LAPTOP!A8)</f>
        <v>1</v>
      </c>
    </row>
    <row r="5" spans="1:7" x14ac:dyDescent="0.3">
      <c r="A5" t="s">
        <v>84</v>
      </c>
      <c r="B5">
        <f>SUMIFS(LABTECH_SERVICE_RECORD_DATABASE!P:P,LABTECH_SERVICE_RECORD_DATABASE!C:C,LAPTOP!B1,LABTECH_SERVICE_RECORD_DATABASE!R:R,LAPTOP!A5)</f>
        <v>0</v>
      </c>
      <c r="C5">
        <f>SUMIFS(LABTECH_SERVICE_RECORD_DATABASE!Q:Q,LABTECH_SERVICE_RECORD_DATABASE!C:C,LAPTOP!B1,LABTECH_SERVICE_RECORD_DATABASE!R:R,LAPTOP!A5)</f>
        <v>0</v>
      </c>
    </row>
    <row r="6" spans="1:7" x14ac:dyDescent="0.3">
      <c r="A6" t="s">
        <v>85</v>
      </c>
      <c r="B6">
        <f>SUMIFS(LABTECH_SERVICE_RECORD_DATABASE!P:P,LABTECH_SERVICE_RECORD_DATABASE!C:C,LAPTOP!B1,LABTECH_SERVICE_RECORD_DATABASE!R:R,LAPTOP!A6)</f>
        <v>0</v>
      </c>
      <c r="C6">
        <f>SUMIFS(LABTECH_SERVICE_RECORD_DATABASE!Q:Q,LABTECH_SERVICE_RECORD_DATABASE!C:C,LAPTOP!B1,LABTECH_SERVICE_RECORD_DATABASE!R:R,LAPTOP!A6)</f>
        <v>0</v>
      </c>
    </row>
    <row r="7" spans="1:7" x14ac:dyDescent="0.3">
      <c r="A7" t="s">
        <v>86</v>
      </c>
      <c r="B7">
        <f>SUMIFS(LABTECH_SERVICE_RECORD_DATABASE!P:P,LABTECH_SERVICE_RECORD_DATABASE!C:C,LAPTOP!B1,LABTECH_SERVICE_RECORD_DATABASE!R:R,LAPTOP!A7)</f>
        <v>0</v>
      </c>
      <c r="C7">
        <f>SUMIFS(LABTECH_SERVICE_RECORD_DATABASE!Q:Q,LABTECH_SERVICE_RECORD_DATABASE!C:C,LAPTOP!B1,LABTECH_SERVICE_RECORD_DATABASE!R:R,LAPTOP!A7)</f>
        <v>0</v>
      </c>
    </row>
    <row r="8" spans="1:7" x14ac:dyDescent="0.3">
      <c r="A8" t="s">
        <v>87</v>
      </c>
      <c r="B8">
        <f>SUMIFS(LABTECH_SERVICE_RECORD_DATABASE!P:P,LABTECH_SERVICE_RECORD_DATABASE!C:C,LAPTOP!B1,LABTECH_SERVICE_RECORD_DATABASE!R:R,LAPTOP!A8)</f>
        <v>1000</v>
      </c>
      <c r="C8">
        <f>SUMIFS(LABTECH_SERVICE_RECORD_DATABASE!Q:Q,LABTECH_SERVICE_RECORD_DATABASE!C:C,LAPTOP!B1,LABTECH_SERVICE_RECORD_DATABASE!R:R,LAPTOP!A8)</f>
        <v>2800</v>
      </c>
    </row>
    <row r="9" spans="1:7" x14ac:dyDescent="0.3">
      <c r="A9" t="s">
        <v>79</v>
      </c>
      <c r="B9">
        <f>SUMIFS(LABTECH_SERVICE_RECORD_DATABASE!P:P,LABTECH_SERVICE_RECORD_DATABASE!C:C,LAPTOP!B1,LABTECH_SERVICE_RECORD_DATABASE!R:R,LAPTOP!A9)</f>
        <v>0</v>
      </c>
      <c r="C9">
        <f>SUMIFS(LABTECH_SERVICE_RECORD_DATABASE!Q:Q,LABTECH_SERVICE_RECORD_DATABASE!C:C,LAPTOP!B1,LABTECH_SERVICE_RECORD_DATABASE!R:R,LAPTOP!A9)</f>
        <v>1550</v>
      </c>
    </row>
    <row r="10" spans="1:7" x14ac:dyDescent="0.3">
      <c r="A10" t="s">
        <v>88</v>
      </c>
      <c r="B10">
        <f>SUMIFS(LABTECH_SERVICE_RECORD_DATABASE!P:P,LABTECH_SERVICE_RECORD_DATABASE!C:C,LAPTOP!B1,LABTECH_SERVICE_RECORD_DATABASE!R:R,LAPTOP!A10)</f>
        <v>0</v>
      </c>
      <c r="C10">
        <f>SUMIFS(LABTECH_SERVICE_RECORD_DATABASE!Q:Q,LABTECH_SERVICE_RECORD_DATABASE!C:C,LAPTOP!B1,LABTECH_SERVICE_RECORD_DATABASE!R:R,LAPTOP!A10)</f>
        <v>0</v>
      </c>
    </row>
    <row r="11" spans="1:7" x14ac:dyDescent="0.3">
      <c r="A11" t="s">
        <v>89</v>
      </c>
      <c r="B11">
        <f>SUMIFS(LABTECH_SERVICE_RECORD_DATABASE!P:P,LABTECH_SERVICE_RECORD_DATABASE!C:C,LAPTOP!B8,LABTECH_SERVICE_RECORD_DATABASE!R:R,LAPTOP!A11)</f>
        <v>0</v>
      </c>
      <c r="C11">
        <f>SUMIFS(LABTECH_SERVICE_RECORD_DATABASE!Q:Q,LABTECH_SERVICE_RECORD_DATABASE!C:C,LAPTOP!B1,LABTECH_SERVICE_RECORD_DATABASE!R:R,LAPTOP!A11)</f>
        <v>0</v>
      </c>
    </row>
    <row r="12" spans="1:7" x14ac:dyDescent="0.3">
      <c r="A12" t="s">
        <v>90</v>
      </c>
      <c r="B12">
        <f>SUMIFS(LABTECH_SERVICE_RECORD_DATABASE!P:P,LABTECH_SERVICE_RECORD_DATABASE!C:C,LAPTOP!B1,LABTECH_SERVICE_RECORD_DATABASE!R:R,LAPTOP!A12)</f>
        <v>0</v>
      </c>
      <c r="C12">
        <f>SUMIFS(LABTECH_SERVICE_RECORD_DATABASE!Q:Q,LABTECH_SERVICE_RECORD_DATABASE!C:C,LAPTOP!B1,LABTECH_SERVICE_RECORD_DATABASE!R:R,LAPTOP!A12)</f>
        <v>0</v>
      </c>
    </row>
    <row r="13" spans="1:7" x14ac:dyDescent="0.3">
      <c r="A13" t="s">
        <v>91</v>
      </c>
      <c r="B13">
        <f>SUMIFS(LABTECH_SERVICE_RECORD_DATABASE!P:P,LABTECH_SERVICE_RECORD_DATABASE!C:C,LAPTOP!B10,LABTECH_SERVICE_RECORD_DATABASE!R:R,LAPTOP!A13)</f>
        <v>0</v>
      </c>
      <c r="C13">
        <f>SUMIFS(LABTECH_SERVICE_RECORD_DATABASE!Q:Q,LABTECH_SERVICE_RECORD_DATABASE!C:C,LAPTOP!B1,LABTECH_SERVICE_RECORD_DATABASE!R:R,LAPTOP!A13)</f>
        <v>0</v>
      </c>
    </row>
    <row r="14" spans="1:7" x14ac:dyDescent="0.3">
      <c r="A14" t="s">
        <v>92</v>
      </c>
      <c r="B14">
        <f>SUMIFS(LABTECH_SERVICE_RECORD_DATABASE!P:P,LABTECH_SERVICE_RECORD_DATABASE!C:C,LAPTOP!B1,LABTECH_SERVICE_RECORD_DATABASE!R:R,LAPTOP!A14)</f>
        <v>0</v>
      </c>
      <c r="C14">
        <f>SUMIFS(LABTECH_SERVICE_RECORD_DATABASE!Q:Q,LABTECH_SERVICE_RECORD_DATABASE!C:C,LAPTOP!B1,LABTECH_SERVICE_RECORD_DATABASE!R:R,LAPTOP!A14)</f>
        <v>0</v>
      </c>
    </row>
    <row r="15" spans="1:7" x14ac:dyDescent="0.3">
      <c r="A15" t="s">
        <v>93</v>
      </c>
      <c r="B15">
        <f>SUMIFS(LABTECH_SERVICE_RECORD_DATABASE!P:P,LABTECH_SERVICE_RECORD_DATABASE!C:C,LAPTOP!B1,LABTECH_SERVICE_RECORD_DATABASE!R:R,LAPTOP!A15)</f>
        <v>0</v>
      </c>
      <c r="C15">
        <f>SUMIFS(LABTECH_SERVICE_RECORD_DATABASE!Q:Q,LABTECH_SERVICE_RECORD_DATABASE!C:C,LAPTOP!B1,LABTECH_SERVICE_RECORD_DATABASE!R:R,LAPTOP!A15)</f>
        <v>0</v>
      </c>
    </row>
    <row r="16" spans="1:7" x14ac:dyDescent="0.3">
      <c r="A16" s="21" t="s">
        <v>95</v>
      </c>
      <c r="B16">
        <f>SUM(B4:B15)</f>
        <v>1000</v>
      </c>
      <c r="C16">
        <f>SUM(C4:C15)</f>
        <v>4350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90181-F64E-46CE-AF6F-295359444569}">
  <sheetPr codeName="Sheet3"/>
  <dimension ref="A1:G16"/>
  <sheetViews>
    <sheetView workbookViewId="0">
      <selection activeCell="F3" sqref="F3:G3"/>
    </sheetView>
  </sheetViews>
  <sheetFormatPr defaultRowHeight="14.4" x14ac:dyDescent="0.3"/>
  <cols>
    <col min="1" max="1" width="12.33203125" customWidth="1"/>
    <col min="2" max="2" width="15.6640625" customWidth="1"/>
    <col min="3" max="3" width="16.44140625" customWidth="1"/>
  </cols>
  <sheetData>
    <row r="1" spans="1:7" x14ac:dyDescent="0.3">
      <c r="B1" t="s">
        <v>24</v>
      </c>
    </row>
    <row r="3" spans="1:7" x14ac:dyDescent="0.3">
      <c r="A3" s="21" t="s">
        <v>94</v>
      </c>
      <c r="B3" s="21" t="s">
        <v>69</v>
      </c>
      <c r="C3" s="21" t="s">
        <v>66</v>
      </c>
      <c r="F3" s="21" t="s">
        <v>82</v>
      </c>
      <c r="G3" s="21" t="s">
        <v>97</v>
      </c>
    </row>
    <row r="4" spans="1:7" x14ac:dyDescent="0.3">
      <c r="A4" t="s">
        <v>83</v>
      </c>
      <c r="B4">
        <f>SUMIFS(LABTECH_SERVICE_RECORD_DATABASE!P:P,LABTECH_SERVICE_RECORD_DATABASE!C:C,PRINTER!B1,LABTECH_SERVICE_RECORD_DATABASE!R:R,PRINTER!A4)</f>
        <v>0</v>
      </c>
      <c r="C4">
        <f>SUMIFS(LABTECH_SERVICE_RECORD_DATABASE!Q:Q,LABTECH_SERVICE_RECORD_DATABASE!C:C,PRINTER!B1,LABTECH_SERVICE_RECORD_DATABASE!R:R,PRINTER!A4)</f>
        <v>0</v>
      </c>
    </row>
    <row r="5" spans="1:7" x14ac:dyDescent="0.3">
      <c r="A5" t="s">
        <v>84</v>
      </c>
      <c r="B5">
        <f>SUMIFS(LABTECH_SERVICE_RECORD_DATABASE!P:P,LABTECH_SERVICE_RECORD_DATABASE!C:C,PRINTER!B1,LABTECH_SERVICE_RECORD_DATABASE!R:R,PRINTER!A5)</f>
        <v>0</v>
      </c>
      <c r="C5">
        <f>SUMIFS(LABTECH_SERVICE_RECORD_DATABASE!Q:Q,LABTECH_SERVICE_RECORD_DATABASE!C:C,PRINTER!B1,LABTECH_SERVICE_RECORD_DATABASE!R:R,PRINTER!A5)</f>
        <v>0</v>
      </c>
    </row>
    <row r="6" spans="1:7" x14ac:dyDescent="0.3">
      <c r="A6" t="s">
        <v>85</v>
      </c>
      <c r="B6">
        <f>SUMIFS(LABTECH_SERVICE_RECORD_DATABASE!P:P,LABTECH_SERVICE_RECORD_DATABASE!C:C,PRINTER!B1,LABTECH_SERVICE_RECORD_DATABASE!R:R,PRINTER!A6)</f>
        <v>0</v>
      </c>
      <c r="C6">
        <f>SUMIFS(LABTECH_SERVICE_RECORD_DATABASE!Q:Q,LABTECH_SERVICE_RECORD_DATABASE!C:C,PRINTER!B1,LABTECH_SERVICE_RECORD_DATABASE!R:R,PRINTER!A6)</f>
        <v>0</v>
      </c>
    </row>
    <row r="7" spans="1:7" x14ac:dyDescent="0.3">
      <c r="A7" t="s">
        <v>86</v>
      </c>
      <c r="B7">
        <f>SUMIFS(LABTECH_SERVICE_RECORD_DATABASE!P:P,LABTECH_SERVICE_RECORD_DATABASE!C:C,PRINTER!B1,LABTECH_SERVICE_RECORD_DATABASE!R:R,PRINTER!A7)</f>
        <v>0</v>
      </c>
      <c r="C7">
        <f>SUMIFS(LABTECH_SERVICE_RECORD_DATABASE!Q:Q,LABTECH_SERVICE_RECORD_DATABASE!C:C,PRINTER!B1,LABTECH_SERVICE_RECORD_DATABASE!R:R,PRINTER!A7)</f>
        <v>0</v>
      </c>
    </row>
    <row r="8" spans="1:7" x14ac:dyDescent="0.3">
      <c r="A8" t="s">
        <v>87</v>
      </c>
      <c r="B8">
        <f>SUMIFS(LABTECH_SERVICE_RECORD_DATABASE!P:P,LABTECH_SERVICE_RECORD_DATABASE!C:C,PRINTER!B1,LABTECH_SERVICE_RECORD_DATABASE!R:R,PRINTER!A8)</f>
        <v>3000</v>
      </c>
      <c r="C8">
        <f>SUMIFS(LABTECH_SERVICE_RECORD_DATABASE!Q:Q,LABTECH_SERVICE_RECORD_DATABASE!C:C,PRINTER!B1,LABTECH_SERVICE_RECORD_DATABASE!R:R,PRINTER!A8)</f>
        <v>650</v>
      </c>
    </row>
    <row r="9" spans="1:7" x14ac:dyDescent="0.3">
      <c r="A9" t="s">
        <v>79</v>
      </c>
      <c r="B9">
        <f>SUMIFS(LABTECH_SERVICE_RECORD_DATABASE!P:P,LABTECH_SERVICE_RECORD_DATABASE!C:C,PRINTER!B1,LABTECH_SERVICE_RECORD_DATABASE!R:R,PRINTER!A9)</f>
        <v>0</v>
      </c>
      <c r="C9">
        <f>SUMIFS(LABTECH_SERVICE_RECORD_DATABASE!Q:Q,LABTECH_SERVICE_RECORD_DATABASE!C:C,PRINTER!B1,LABTECH_SERVICE_RECORD_DATABASE!R:R,PRINTER!A9)</f>
        <v>1050</v>
      </c>
    </row>
    <row r="10" spans="1:7" x14ac:dyDescent="0.3">
      <c r="A10" t="s">
        <v>88</v>
      </c>
      <c r="B10">
        <f>SUMIFS(LABTECH_SERVICE_RECORD_DATABASE!P:P,LABTECH_SERVICE_RECORD_DATABASE!C:C,PRINTER!B1,LABTECH_SERVICE_RECORD_DATABASE!R:R,PRINTER!A10)</f>
        <v>0</v>
      </c>
      <c r="C10">
        <f>SUMIFS(LABTECH_SERVICE_RECORD_DATABASE!Q:Q,LABTECH_SERVICE_RECORD_DATABASE!C:C,PRINTER!B1,LABTECH_SERVICE_RECORD_DATABASE!R:R,PRINTER!A10)</f>
        <v>0</v>
      </c>
    </row>
    <row r="11" spans="1:7" x14ac:dyDescent="0.3">
      <c r="A11" t="s">
        <v>89</v>
      </c>
      <c r="B11">
        <f>SUMIFS(LABTECH_SERVICE_RECORD_DATABASE!P:P,LABTECH_SERVICE_RECORD_DATABASE!C:C,PRINTER!B1,LABTECH_SERVICE_RECORD_DATABASE!R:R,PRINTER!A11)</f>
        <v>0</v>
      </c>
      <c r="C11">
        <f>SUMIFS(LABTECH_SERVICE_RECORD_DATABASE!Q:Q,LABTECH_SERVICE_RECORD_DATABASE!C:C,PRINTER!B1,LABTECH_SERVICE_RECORD_DATABASE!R:R,PRINTER!A11)</f>
        <v>0</v>
      </c>
    </row>
    <row r="12" spans="1:7" x14ac:dyDescent="0.3">
      <c r="A12" t="s">
        <v>90</v>
      </c>
      <c r="B12">
        <f>SUMIFS(LABTECH_SERVICE_RECORD_DATABASE!P:P,LABTECH_SERVICE_RECORD_DATABASE!C:C,PRINTER!B1,LABTECH_SERVICE_RECORD_DATABASE!R:R,PRINTER!A12)</f>
        <v>0</v>
      </c>
      <c r="C12">
        <f>SUMIFS(LABTECH_SERVICE_RECORD_DATABASE!Q:Q,LABTECH_SERVICE_RECORD_DATABASE!C:C,PRINTER!B1,LABTECH_SERVICE_RECORD_DATABASE!R:R,PRINTER!A12)</f>
        <v>0</v>
      </c>
    </row>
    <row r="13" spans="1:7" x14ac:dyDescent="0.3">
      <c r="A13" t="s">
        <v>91</v>
      </c>
      <c r="B13">
        <f>SUMIFS(LABTECH_SERVICE_RECORD_DATABASE!P:P,LABTECH_SERVICE_RECORD_DATABASE!C:C,PRINTER!B1,LABTECH_SERVICE_RECORD_DATABASE!R:R,PRINTER!A13)</f>
        <v>0</v>
      </c>
      <c r="C13">
        <f>SUMIFS(LABTECH_SERVICE_RECORD_DATABASE!Q:Q,LABTECH_SERVICE_RECORD_DATABASE!C:C,PRINTER!B1,LABTECH_SERVICE_RECORD_DATABASE!R:R,PRINTER!A13)</f>
        <v>0</v>
      </c>
    </row>
    <row r="14" spans="1:7" x14ac:dyDescent="0.3">
      <c r="A14" t="s">
        <v>92</v>
      </c>
      <c r="B14">
        <f>SUMIFS(LABTECH_SERVICE_RECORD_DATABASE!P:P,LABTECH_SERVICE_RECORD_DATABASE!C:C,PRINTER!B1,LABTECH_SERVICE_RECORD_DATABASE!R:R,PRINTER!A14)</f>
        <v>0</v>
      </c>
      <c r="C14">
        <f>SUMIFS(LABTECH_SERVICE_RECORD_DATABASE!Q:Q,LABTECH_SERVICE_RECORD_DATABASE!C:C,PRINTER!B1,LABTECH_SERVICE_RECORD_DATABASE!R:R,PRINTER!A14)</f>
        <v>0</v>
      </c>
    </row>
    <row r="15" spans="1:7" x14ac:dyDescent="0.3">
      <c r="A15" t="s">
        <v>93</v>
      </c>
      <c r="B15">
        <f>SUMIFS(LABTECH_SERVICE_RECORD_DATABASE!P:P,LABTECH_SERVICE_RECORD_DATABASE!C:C,PRINTER!B1,LABTECH_SERVICE_RECORD_DATABASE!R:R,PRINTER!A15)</f>
        <v>0</v>
      </c>
      <c r="C15">
        <f>SUMIFS(LABTECH_SERVICE_RECORD_DATABASE!Q:Q,LABTECH_SERVICE_RECORD_DATABASE!C:C,PRINTER!B1,LABTECH_SERVICE_RECORD_DATABASE!R:R,PRINTER!A15)</f>
        <v>0</v>
      </c>
    </row>
    <row r="16" spans="1:7" x14ac:dyDescent="0.3">
      <c r="A16" s="21" t="s">
        <v>95</v>
      </c>
      <c r="B16">
        <f>SUM(B4:B15)</f>
        <v>3000</v>
      </c>
      <c r="C16">
        <f>SUM(C4:C15)</f>
        <v>1700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7013A-B971-4917-86A1-D9429707A8B5}">
  <sheetPr codeName="Sheet4"/>
  <dimension ref="A1:G16"/>
  <sheetViews>
    <sheetView workbookViewId="0">
      <selection activeCell="F3" sqref="F3:G3"/>
    </sheetView>
  </sheetViews>
  <sheetFormatPr defaultRowHeight="14.4" x14ac:dyDescent="0.3"/>
  <cols>
    <col min="1" max="1" width="12.33203125" customWidth="1"/>
    <col min="2" max="2" width="15.6640625" customWidth="1"/>
    <col min="3" max="3" width="16.44140625" customWidth="1"/>
  </cols>
  <sheetData>
    <row r="1" spans="1:7" x14ac:dyDescent="0.3">
      <c r="B1" t="s">
        <v>42</v>
      </c>
    </row>
    <row r="3" spans="1:7" x14ac:dyDescent="0.3">
      <c r="A3" s="21" t="s">
        <v>94</v>
      </c>
      <c r="B3" s="21" t="s">
        <v>69</v>
      </c>
      <c r="C3" s="21" t="s">
        <v>66</v>
      </c>
      <c r="F3" s="21" t="s">
        <v>82</v>
      </c>
      <c r="G3" s="21" t="s">
        <v>97</v>
      </c>
    </row>
    <row r="4" spans="1:7" x14ac:dyDescent="0.3">
      <c r="A4" t="s">
        <v>83</v>
      </c>
      <c r="B4">
        <f>SUMIFS(LABTECH_SERVICE_RECORD_DATABASE!P:P,LABTECH_SERVICE_RECORD_DATABASE!C:C,PC!B1,LABTECH_SERVICE_RECORD_DATABASE!R:R,PC!A4)</f>
        <v>0</v>
      </c>
    </row>
    <row r="5" spans="1:7" x14ac:dyDescent="0.3">
      <c r="A5" t="s">
        <v>84</v>
      </c>
      <c r="B5">
        <f>SUMIFS(LABTECH_SERVICE_RECORD_DATABASE!P:P,LABTECH_SERVICE_RECORD_DATABASE!C:C,PC!B1,LABTECH_SERVICE_RECORD_DATABASE!R:R,PC!A5)</f>
        <v>0</v>
      </c>
    </row>
    <row r="6" spans="1:7" x14ac:dyDescent="0.3">
      <c r="A6" t="s">
        <v>85</v>
      </c>
      <c r="B6">
        <f>SUMIFS(LABTECH_SERVICE_RECORD_DATABASE!P:P,LABTECH_SERVICE_RECORD_DATABASE!C:C,PC!B3,LABTECH_SERVICE_RECORD_DATABASE!R:R,PC!A6)</f>
        <v>0</v>
      </c>
      <c r="C6" s="20"/>
    </row>
    <row r="7" spans="1:7" x14ac:dyDescent="0.3">
      <c r="A7" t="s">
        <v>86</v>
      </c>
      <c r="B7">
        <f>SUMIFS(LABTECH_SERVICE_RECORD_DATABASE!P:P,LABTECH_SERVICE_RECORD_DATABASE!C:C,PC!B4,LABTECH_SERVICE_RECORD_DATABASE!R:R,PC!A7)</f>
        <v>0</v>
      </c>
      <c r="C7" s="20"/>
    </row>
    <row r="8" spans="1:7" x14ac:dyDescent="0.3">
      <c r="A8" t="s">
        <v>87</v>
      </c>
      <c r="B8">
        <f>SUMIFS(LABTECH_SERVICE_RECORD_DATABASE!P:P,LABTECH_SERVICE_RECORD_DATABASE!C:C,PC!B5,LABTECH_SERVICE_RECORD_DATABASE!R:R,PC!A8)</f>
        <v>0</v>
      </c>
      <c r="C8" s="20"/>
    </row>
    <row r="9" spans="1:7" x14ac:dyDescent="0.3">
      <c r="A9" t="s">
        <v>96</v>
      </c>
      <c r="B9">
        <f>SUMIFS(LABTECH_SERVICE_RECORD_DATABASE!P:P,LABTECH_SERVICE_RECORD_DATABASE!C:C,PC!B6,LABTECH_SERVICE_RECORD_DATABASE!R:R,PC!A9)</f>
        <v>0</v>
      </c>
      <c r="C9" s="20"/>
    </row>
    <row r="10" spans="1:7" x14ac:dyDescent="0.3">
      <c r="A10" t="s">
        <v>88</v>
      </c>
      <c r="B10">
        <f>SUMIFS(LABTECH_SERVICE_RECORD_DATABASE!P:P,LABTECH_SERVICE_RECORD_DATABASE!C:C,PC!B7,LABTECH_SERVICE_RECORD_DATABASE!R:R,PC!A10)</f>
        <v>0</v>
      </c>
      <c r="C10" s="20"/>
    </row>
    <row r="11" spans="1:7" x14ac:dyDescent="0.3">
      <c r="A11" t="s">
        <v>89</v>
      </c>
      <c r="B11">
        <f>SUMIFS(LABTECH_SERVICE_RECORD_DATABASE!P:P,LABTECH_SERVICE_RECORD_DATABASE!C:C,PC!B8,LABTECH_SERVICE_RECORD_DATABASE!R:R,PC!A11)</f>
        <v>0</v>
      </c>
    </row>
    <row r="12" spans="1:7" x14ac:dyDescent="0.3">
      <c r="A12" t="s">
        <v>90</v>
      </c>
      <c r="B12">
        <f>SUMIFS(LABTECH_SERVICE_RECORD_DATABASE!P:P,LABTECH_SERVICE_RECORD_DATABASE!C:C,PC!B9,LABTECH_SERVICE_RECORD_DATABASE!R:R,PC!A12)</f>
        <v>0</v>
      </c>
    </row>
    <row r="13" spans="1:7" x14ac:dyDescent="0.3">
      <c r="A13" t="s">
        <v>91</v>
      </c>
      <c r="B13">
        <f>SUMIFS(LABTECH_SERVICE_RECORD_DATABASE!P:P,LABTECH_SERVICE_RECORD_DATABASE!C:C,PC!B10,LABTECH_SERVICE_RECORD_DATABASE!R:R,PC!A13)</f>
        <v>0</v>
      </c>
    </row>
    <row r="14" spans="1:7" x14ac:dyDescent="0.3">
      <c r="A14" t="s">
        <v>92</v>
      </c>
      <c r="B14">
        <f>SUMIFS(LABTECH_SERVICE_RECORD_DATABASE!P:P,LABTECH_SERVICE_RECORD_DATABASE!C:C,PC!B11,LABTECH_SERVICE_RECORD_DATABASE!R:R,PC!A14)</f>
        <v>0</v>
      </c>
    </row>
    <row r="15" spans="1:7" x14ac:dyDescent="0.3">
      <c r="A15" t="s">
        <v>93</v>
      </c>
      <c r="B15">
        <f>SUMIFS(LABTECH_SERVICE_RECORD_DATABASE!P:P,LABTECH_SERVICE_RECORD_DATABASE!C:C,PC!B12,LABTECH_SERVICE_RECORD_DATABASE!R:R,PC!A15)</f>
        <v>0</v>
      </c>
    </row>
    <row r="16" spans="1:7" x14ac:dyDescent="0.3">
      <c r="A16" s="21" t="s">
        <v>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DEDA7-4FDD-4F68-ADF5-C6784C6B29D6}">
  <sheetPr codeName="Sheet5"/>
  <dimension ref="A1:G16"/>
  <sheetViews>
    <sheetView workbookViewId="0">
      <selection activeCell="H27" sqref="H27"/>
    </sheetView>
  </sheetViews>
  <sheetFormatPr defaultRowHeight="14.4" x14ac:dyDescent="0.3"/>
  <cols>
    <col min="1" max="1" width="12.33203125" customWidth="1"/>
    <col min="2" max="2" width="15.6640625" customWidth="1"/>
    <col min="3" max="3" width="16.44140625" customWidth="1"/>
  </cols>
  <sheetData>
    <row r="1" spans="1:7" x14ac:dyDescent="0.3">
      <c r="B1" t="s">
        <v>68</v>
      </c>
    </row>
    <row r="3" spans="1:7" x14ac:dyDescent="0.3">
      <c r="A3" s="21" t="s">
        <v>94</v>
      </c>
      <c r="B3" s="21" t="s">
        <v>69</v>
      </c>
      <c r="C3" s="21" t="s">
        <v>66</v>
      </c>
      <c r="F3" s="21" t="s">
        <v>82</v>
      </c>
      <c r="G3" s="21" t="s">
        <v>97</v>
      </c>
    </row>
    <row r="4" spans="1:7" x14ac:dyDescent="0.3">
      <c r="A4" t="s">
        <v>83</v>
      </c>
    </row>
    <row r="5" spans="1:7" x14ac:dyDescent="0.3">
      <c r="A5" t="s">
        <v>84</v>
      </c>
    </row>
    <row r="6" spans="1:7" x14ac:dyDescent="0.3">
      <c r="A6" t="s">
        <v>85</v>
      </c>
      <c r="B6" s="20"/>
      <c r="C6" s="20"/>
    </row>
    <row r="7" spans="1:7" x14ac:dyDescent="0.3">
      <c r="A7" t="s">
        <v>86</v>
      </c>
      <c r="B7" s="20"/>
      <c r="C7" s="20"/>
    </row>
    <row r="8" spans="1:7" x14ac:dyDescent="0.3">
      <c r="A8" t="s">
        <v>87</v>
      </c>
      <c r="B8" s="20"/>
      <c r="C8" s="20"/>
    </row>
    <row r="9" spans="1:7" x14ac:dyDescent="0.3">
      <c r="A9" t="s">
        <v>79</v>
      </c>
      <c r="B9" s="20"/>
      <c r="C9" s="20">
        <f>SUMIFS(LABTECH_SERVICE_RECORD_DATABASE!Q:Q,LABTECH_SERVICE_RECORD_DATABASE!C:C,MOBILE!B1,LABTECH_SERVICE_RECORD_DATABASE!R:R,MOBILE!A9)</f>
        <v>2500</v>
      </c>
    </row>
    <row r="10" spans="1:7" x14ac:dyDescent="0.3">
      <c r="A10" t="s">
        <v>88</v>
      </c>
      <c r="B10" s="20"/>
      <c r="C10" s="20"/>
    </row>
    <row r="11" spans="1:7" x14ac:dyDescent="0.3">
      <c r="A11" t="s">
        <v>89</v>
      </c>
    </row>
    <row r="12" spans="1:7" x14ac:dyDescent="0.3">
      <c r="A12" t="s">
        <v>90</v>
      </c>
    </row>
    <row r="13" spans="1:7" x14ac:dyDescent="0.3">
      <c r="A13" t="s">
        <v>91</v>
      </c>
    </row>
    <row r="14" spans="1:7" x14ac:dyDescent="0.3">
      <c r="A14" t="s">
        <v>92</v>
      </c>
    </row>
    <row r="15" spans="1:7" x14ac:dyDescent="0.3">
      <c r="A15" t="s">
        <v>93</v>
      </c>
    </row>
    <row r="16" spans="1:7" x14ac:dyDescent="0.3">
      <c r="A16" s="21" t="s">
        <v>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36355-5020-457B-9468-732EE7CB896C}">
  <sheetPr codeName="Sheet6"/>
  <dimension ref="A1:G16"/>
  <sheetViews>
    <sheetView workbookViewId="0">
      <selection activeCell="F21" sqref="F21"/>
    </sheetView>
  </sheetViews>
  <sheetFormatPr defaultRowHeight="14.4" x14ac:dyDescent="0.3"/>
  <cols>
    <col min="1" max="1" width="14" customWidth="1"/>
    <col min="2" max="2" width="15.6640625" customWidth="1"/>
    <col min="3" max="3" width="16.44140625" customWidth="1"/>
    <col min="5" max="5" width="13.109375" customWidth="1"/>
    <col min="6" max="6" width="13.88671875" customWidth="1"/>
  </cols>
  <sheetData>
    <row r="1" spans="1:7" x14ac:dyDescent="0.3">
      <c r="B1" t="s">
        <v>72</v>
      </c>
    </row>
    <row r="3" spans="1:7" x14ac:dyDescent="0.3">
      <c r="A3" s="21" t="s">
        <v>94</v>
      </c>
      <c r="B3" s="21" t="s">
        <v>69</v>
      </c>
      <c r="C3" s="21" t="s">
        <v>66</v>
      </c>
      <c r="F3" s="21" t="s">
        <v>82</v>
      </c>
      <c r="G3" s="21" t="s">
        <v>97</v>
      </c>
    </row>
    <row r="4" spans="1:7" x14ac:dyDescent="0.3">
      <c r="A4" t="s">
        <v>83</v>
      </c>
    </row>
    <row r="5" spans="1:7" x14ac:dyDescent="0.3">
      <c r="A5" t="s">
        <v>84</v>
      </c>
    </row>
    <row r="6" spans="1:7" x14ac:dyDescent="0.3">
      <c r="A6" t="s">
        <v>85</v>
      </c>
      <c r="B6" s="20"/>
      <c r="C6" s="20"/>
    </row>
    <row r="7" spans="1:7" x14ac:dyDescent="0.3">
      <c r="A7" t="s">
        <v>86</v>
      </c>
      <c r="B7" s="20"/>
      <c r="C7" s="20"/>
    </row>
    <row r="8" spans="1:7" x14ac:dyDescent="0.3">
      <c r="A8" t="s">
        <v>87</v>
      </c>
      <c r="B8" s="20"/>
      <c r="C8" s="20"/>
    </row>
    <row r="9" spans="1:7" x14ac:dyDescent="0.3">
      <c r="A9" t="s">
        <v>79</v>
      </c>
      <c r="B9" s="20"/>
      <c r="C9" s="20"/>
    </row>
    <row r="10" spans="1:7" x14ac:dyDescent="0.3">
      <c r="A10" t="s">
        <v>88</v>
      </c>
      <c r="B10" s="20"/>
      <c r="C10" s="20"/>
    </row>
    <row r="11" spans="1:7" x14ac:dyDescent="0.3">
      <c r="A11" t="s">
        <v>89</v>
      </c>
    </row>
    <row r="12" spans="1:7" x14ac:dyDescent="0.3">
      <c r="A12" t="s">
        <v>90</v>
      </c>
    </row>
    <row r="13" spans="1:7" x14ac:dyDescent="0.3">
      <c r="A13" t="s">
        <v>91</v>
      </c>
    </row>
    <row r="14" spans="1:7" x14ac:dyDescent="0.3">
      <c r="A14" t="s">
        <v>92</v>
      </c>
    </row>
    <row r="15" spans="1:7" x14ac:dyDescent="0.3">
      <c r="A15" t="s">
        <v>93</v>
      </c>
    </row>
    <row r="16" spans="1:7" x14ac:dyDescent="0.3">
      <c r="A16" s="2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LABTECH_SERVICE_RECORD_DATABASE</vt:lpstr>
      <vt:lpstr>Sheet2</vt:lpstr>
      <vt:lpstr>Sheet1</vt:lpstr>
      <vt:lpstr>LAPTOP</vt:lpstr>
      <vt:lpstr>PRINTER</vt:lpstr>
      <vt:lpstr>PC</vt:lpstr>
      <vt:lpstr>MOBILE</vt:lpstr>
      <vt:lpstr>OTHERS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Labtech (Admin)</dc:creator>
  <cp:lastModifiedBy>Labtech (Admin)</cp:lastModifiedBy>
  <dcterms:created xsi:type="dcterms:W3CDTF">2024-05-14T02:55:17Z</dcterms:created>
  <dcterms:modified xsi:type="dcterms:W3CDTF">2024-06-11T07:32:44Z</dcterms:modified>
</cp:coreProperties>
</file>